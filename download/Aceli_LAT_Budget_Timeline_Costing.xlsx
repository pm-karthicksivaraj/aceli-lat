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Cover" sheetId="1" state="visible" r:id="rId1"/>
    <sheet xmlns:r="http://schemas.openxmlformats.org/officeDocument/2006/relationships" name="2. Executive Summary" sheetId="2" state="visible" r:id="rId2"/>
    <sheet xmlns:r="http://schemas.openxmlformats.org/officeDocument/2006/relationships" name="3. Sprint Budget" sheetId="3" state="visible" r:id="rId3"/>
    <sheet xmlns:r="http://schemas.openxmlformats.org/officeDocument/2006/relationships" name="4. Resource Costing" sheetId="4" state="visible" r:id="rId4"/>
    <sheet xmlns:r="http://schemas.openxmlformats.org/officeDocument/2006/relationships" name="5. Cost by Category" sheetId="5" state="visible" r:id="rId5"/>
    <sheet xmlns:r="http://schemas.openxmlformats.org/officeDocument/2006/relationships" name="6. Development Timeline" sheetId="6" state="visible" r:id="rId6"/>
    <sheet xmlns:r="http://schemas.openxmlformats.org/officeDocument/2006/relationships" name="7. Payment Milestones" sheetId="7" state="visible" r:id="rId7"/>
    <sheet xmlns:r="http://schemas.openxmlformats.org/officeDocument/2006/relationships" name="8. Risk &amp; Contingency" sheetId="8" state="visible" r:id="rId8"/>
    <sheet xmlns:r="http://schemas.openxmlformats.org/officeDocument/2006/relationships" name="9. Assumption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%"/>
    <numFmt numFmtId="166" formatCode="+$#,##0;-$#,##0;$0"/>
  </numFmts>
  <fonts count="22">
    <font>
      <name val="Calibri"/>
      <family val="2"/>
      <color theme="1"/>
      <sz val="11"/>
      <scheme val="minor"/>
    </font>
    <font>
      <name val="Noto Sans CJK SC"/>
      <color rgb="001B2A4A"/>
      <sz val="22"/>
    </font>
    <font>
      <name val="Noto Sans CJK SC"/>
      <i val="1"/>
      <color rgb="008C8A84"/>
      <sz val="11"/>
    </font>
    <font>
      <name val="Noto Sans CJK SC"/>
      <color rgb="001B2A4A"/>
      <sz val="10"/>
    </font>
    <font>
      <name val="Noto Sans CJK SC"/>
      <color rgb="0037352F"/>
      <sz val="10"/>
    </font>
    <font>
      <name val="Noto Sans CJK SC"/>
      <color rgb="001B2A4A"/>
      <sz val="12"/>
    </font>
    <font>
      <name val="Noto Sans CJK SC"/>
      <i val="1"/>
      <color rgb="008C8A84"/>
      <sz val="9"/>
    </font>
    <font>
      <name val="Noto Sans CJK SC"/>
      <color rgb="001B2A4A"/>
      <sz val="16"/>
    </font>
    <font>
      <name val="Noto Sans CJK SC"/>
      <i val="1"/>
      <color rgb="008C8A84"/>
      <sz val="10"/>
    </font>
    <font>
      <name val="Noto Sans CJK SC"/>
      <color rgb="001B2A4A"/>
      <sz val="20"/>
    </font>
    <font>
      <name val="Noto Sans CJK SC"/>
      <color rgb="008C8A84"/>
      <sz val="9"/>
    </font>
    <font>
      <name val="Noto Sans CJK SC"/>
      <color rgb="00D4820A"/>
      <sz val="20"/>
    </font>
    <font>
      <name val="Noto Sans CJK SC"/>
      <color rgb="001B7D46"/>
      <sz val="20"/>
    </font>
    <font>
      <name val="Noto Sans CJK SC"/>
      <color rgb="00FFFFFF"/>
      <sz val="11"/>
    </font>
    <font>
      <name val="Noto Sans CJK SC"/>
      <color rgb="0037352F"/>
      <sz val="11"/>
    </font>
    <font>
      <name val="Noto Sans CJK SC"/>
      <color rgb="001B2A4A"/>
      <sz val="11"/>
    </font>
    <font>
      <name val="Noto Sans CJK SC"/>
      <color rgb="00D4820A"/>
      <sz val="10"/>
    </font>
    <font>
      <name val="Noto Sans CJK SC"/>
      <color rgb="00D4820A"/>
      <sz val="11"/>
    </font>
    <font>
      <name val="Noto Sans CJK SC"/>
      <color rgb="001B7D46"/>
      <sz val="11"/>
    </font>
    <font>
      <name val="Noto Sans CJK SC"/>
      <color rgb="001B7D46"/>
      <sz val="12"/>
    </font>
    <font>
      <name val="Noto Sans CJK SC"/>
      <color rgb="00FFFFFF"/>
      <sz val="9"/>
    </font>
    <font>
      <name val="Noto Sans CJK SC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F7F7F5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8F5E9"/>
      </patternFill>
    </fill>
    <fill>
      <patternFill patternType="solid">
        <fgColor rgb="008C8A84"/>
      </patternFill>
    </fill>
    <fill>
      <patternFill patternType="solid">
        <fgColor rgb="00D4820A"/>
      </patternFill>
    </fill>
    <fill>
      <patternFill patternType="solid">
        <fgColor rgb="006C5B7B"/>
      </patternFill>
    </fill>
    <fill>
      <patternFill patternType="solid">
        <fgColor rgb="001B7D46"/>
      </patternFill>
    </fill>
    <fill>
      <patternFill patternType="solid">
        <fgColor rgb="00C0392B"/>
      </patternFill>
    </fill>
  </fills>
  <borders count="4">
    <border>
      <left/>
      <right/>
      <top/>
      <bottom/>
      <diagonal/>
    </border>
    <border>
      <bottom style="thin">
        <color rgb="00E9E9E8"/>
      </bottom>
    </border>
    <border>
      <left/>
      <right/>
      <top/>
      <bottom style="thin">
        <color rgb="00E9E9E8"/>
      </bottom>
      <diagonal/>
    </border>
    <border>
      <top style="medium">
        <color rgb="00E9E9E8"/>
      </top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11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/>
    </xf>
    <xf numFmtId="1" fontId="9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 wrapText="1"/>
    </xf>
    <xf numFmtId="0" fontId="13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14" fillId="5" borderId="0" pivotButton="0" quotePrefix="0" xfId="0"/>
    <xf numFmtId="164" fontId="14" fillId="5" borderId="0" pivotButton="0" quotePrefix="0" xfId="0"/>
    <xf numFmtId="165" fontId="14" fillId="5" borderId="0" pivotButton="0" quotePrefix="0" xfId="0"/>
    <xf numFmtId="0" fontId="14" fillId="5" borderId="0" applyAlignment="1" pivotButton="0" quotePrefix="0" xfId="0">
      <alignment horizontal="left" vertical="center" wrapText="1"/>
    </xf>
    <xf numFmtId="0" fontId="14" fillId="3" borderId="0" pivotButton="0" quotePrefix="0" xfId="0"/>
    <xf numFmtId="164" fontId="14" fillId="3" borderId="0" pivotButton="0" quotePrefix="0" xfId="0"/>
    <xf numFmtId="165" fontId="14" fillId="3" borderId="0" pivotButton="0" quotePrefix="0" xfId="0"/>
    <xf numFmtId="0" fontId="14" fillId="3" borderId="0" applyAlignment="1" pivotButton="0" quotePrefix="0" xfId="0">
      <alignment horizontal="left" vertical="center" wrapText="1"/>
    </xf>
    <xf numFmtId="0" fontId="15" fillId="4" borderId="3" pivotButton="0" quotePrefix="0" xfId="0"/>
    <xf numFmtId="164" fontId="15" fillId="4" borderId="3" pivotButton="0" quotePrefix="0" xfId="0"/>
    <xf numFmtId="165" fontId="15" fillId="4" borderId="3" pivotButton="0" quotePrefix="0" xfId="0"/>
    <xf numFmtId="0" fontId="15" fillId="4" borderId="3" applyAlignment="1" pivotButton="0" quotePrefix="0" xfId="0">
      <alignment horizontal="left" vertical="center" wrapText="1"/>
    </xf>
    <xf numFmtId="0" fontId="14" fillId="5" borderId="0" applyAlignment="1" pivotButton="0" quotePrefix="0" xfId="0">
      <alignment horizontal="center" vertical="center"/>
    </xf>
    <xf numFmtId="164" fontId="14" fillId="5" borderId="0" applyAlignment="1" pivotButton="0" quotePrefix="0" xfId="0">
      <alignment horizontal="right" vertical="center"/>
    </xf>
    <xf numFmtId="165" fontId="14" fillId="5" borderId="0" applyAlignment="1" pivotButton="0" quotePrefix="0" xfId="0">
      <alignment horizontal="right" vertical="center"/>
    </xf>
    <xf numFmtId="0" fontId="14" fillId="3" borderId="0" applyAlignment="1" pivotButton="0" quotePrefix="0" xfId="0">
      <alignment horizontal="center" vertical="center"/>
    </xf>
    <xf numFmtId="164" fontId="14" fillId="3" borderId="0" applyAlignment="1" pivotButton="0" quotePrefix="0" xfId="0">
      <alignment horizontal="right" vertical="center"/>
    </xf>
    <xf numFmtId="165" fontId="14" fillId="3" borderId="0" applyAlignment="1" pivotButton="0" quotePrefix="0" xfId="0">
      <alignment horizontal="right" vertical="center"/>
    </xf>
    <xf numFmtId="0" fontId="15" fillId="4" borderId="3" applyAlignment="1" pivotButton="0" quotePrefix="0" xfId="0">
      <alignment horizontal="center" vertical="center"/>
    </xf>
    <xf numFmtId="0" fontId="15" fillId="4" borderId="3" applyAlignment="1" pivotButton="0" quotePrefix="0" xfId="0">
      <alignment horizontal="right" vertical="center"/>
    </xf>
    <xf numFmtId="164" fontId="15" fillId="4" borderId="3" applyAlignment="1" pivotButton="0" quotePrefix="0" xfId="0">
      <alignment horizontal="right" vertical="center"/>
    </xf>
    <xf numFmtId="165" fontId="15" fillId="4" borderId="3" applyAlignment="1" pivotButton="0" quotePrefix="0" xfId="0">
      <alignment horizontal="right" vertical="center"/>
    </xf>
    <xf numFmtId="0" fontId="3" fillId="0" borderId="0" pivotButton="0" quotePrefix="0" xfId="0"/>
    <xf numFmtId="164" fontId="15" fillId="4" borderId="0" applyAlignment="1" pivotButton="0" quotePrefix="0" xfId="0">
      <alignment horizontal="right" vertical="center"/>
    </xf>
    <xf numFmtId="0" fontId="16" fillId="0" borderId="0" pivotButton="0" quotePrefix="0" xfId="0"/>
    <xf numFmtId="164" fontId="17" fillId="0" borderId="0" applyAlignment="1" pivotButton="0" quotePrefix="0" xfId="0">
      <alignment horizontal="right" vertical="center"/>
    </xf>
    <xf numFmtId="0" fontId="18" fillId="0" borderId="0" pivotButton="0" quotePrefix="0" xfId="0"/>
    <xf numFmtId="164" fontId="19" fillId="6" borderId="3" applyAlignment="1" pivotButton="0" quotePrefix="0" xfId="0">
      <alignment horizontal="right" vertical="center"/>
    </xf>
    <xf numFmtId="0" fontId="3" fillId="5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 wrapText="1"/>
    </xf>
    <xf numFmtId="3" fontId="14" fillId="5" borderId="0" applyAlignment="1" pivotButton="0" quotePrefix="0" xfId="0">
      <alignment horizontal="right" vertical="center"/>
    </xf>
    <xf numFmtId="3" fontId="14" fillId="3" borderId="0" applyAlignment="1" pivotButton="0" quotePrefix="0" xfId="0">
      <alignment horizontal="right" vertical="center"/>
    </xf>
    <xf numFmtId="3" fontId="15" fillId="4" borderId="3" applyAlignment="1" pivotButton="0" quotePrefix="0" xfId="0">
      <alignment horizontal="right" vertical="center"/>
    </xf>
    <xf numFmtId="0" fontId="21" fillId="7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/>
    </xf>
    <xf numFmtId="0" fontId="0" fillId="8" borderId="0" pivotButton="0" quotePrefix="0" xfId="0"/>
    <xf numFmtId="0" fontId="0" fillId="5" borderId="0" pivotButton="0" quotePrefix="0" xfId="0"/>
    <xf numFmtId="0" fontId="4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3" fillId="0" borderId="0" applyAlignment="1" pivotButton="0" quotePrefix="0" xfId="0">
      <alignment horizontal="center" vertical="center"/>
    </xf>
    <xf numFmtId="0" fontId="21" fillId="1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14" fillId="5" borderId="0" applyAlignment="1" pivotButton="0" quotePrefix="0" xfId="0">
      <alignment horizontal="left" vertical="center"/>
    </xf>
    <xf numFmtId="166" fontId="14" fillId="5" borderId="0" applyAlignment="1" pivotButton="0" quotePrefix="0" xfId="0">
      <alignment horizontal="right" vertical="center"/>
    </xf>
    <xf numFmtId="0" fontId="14" fillId="3" borderId="0" applyAlignment="1" pivotButton="0" quotePrefix="0" xfId="0">
      <alignment horizontal="left" vertical="center"/>
    </xf>
    <xf numFmtId="166" fontId="14" fillId="3" borderId="0" applyAlignment="1" pivotButton="0" quotePrefix="0" xfId="0">
      <alignment horizontal="right" vertical="center"/>
    </xf>
    <xf numFmtId="0" fontId="3" fillId="5" borderId="0" applyAlignment="1" pivotButton="0" quotePrefix="0" xfId="0">
      <alignment horizontal="left" vertical="top" wrapText="1"/>
    </xf>
    <xf numFmtId="0" fontId="4" fillId="5" borderId="0" applyAlignment="1" pivotButton="0" quotePrefix="0" xfId="0">
      <alignment horizontal="left" vertical="top" wrapText="1"/>
    </xf>
    <xf numFmtId="0" fontId="3" fillId="3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color rgb="008C8A84"/>
      </font>
      <fill>
        <patternFill patternType="solid">
          <fgColor rgb="00F7F7F5"/>
        </patternFill>
      </fill>
    </dxf>
    <dxf>
      <font>
        <color rgb="00C0392B"/>
      </font>
      <fill>
        <patternFill patternType="solid">
          <fgColor rgb="00FDEDEC"/>
        </patternFill>
      </fill>
    </dxf>
    <dxf>
      <font>
        <color rgb="00D4820A"/>
      </font>
      <fill>
        <patternFill patternType="solid">
          <fgColor rgb="00FEF9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2"/>
  <sheetViews>
    <sheetView showGridLines="0" zoomScale="11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0" customWidth="1" min="3" max="3"/>
    <col width="3" customWidth="1" min="4" max="4"/>
  </cols>
  <sheetData>
    <row r="2" ht="40" customHeight="1">
      <c r="B2" s="1" t="inlineStr">
        <is>
          <t>ACELI LAT — BUDGET, TIMELINE &amp; COSTING</t>
        </is>
      </c>
    </row>
    <row r="3" ht="20" customHeight="1">
      <c r="B3" s="2" t="inlineStr">
        <is>
          <t>Lender Activation Tool  |  AI-Enabled Lender Relationship Intelligence Platform</t>
        </is>
      </c>
    </row>
    <row r="4" ht="4" customHeight="1">
      <c r="B4" s="3" t="n"/>
    </row>
    <row r="6" ht="22" customHeight="1">
      <c r="B6" s="4" t="inlineStr">
        <is>
          <t>Document Title</t>
        </is>
      </c>
      <c r="C6" s="5" t="inlineStr">
        <is>
          <t>Aceli LAT — Master Budget, Development Timeline &amp; Costing Workbook</t>
        </is>
      </c>
    </row>
    <row r="7" ht="22" customHeight="1">
      <c r="B7" s="4" t="inlineStr">
        <is>
          <t>Project Name</t>
        </is>
      </c>
      <c r="C7" s="5" t="inlineStr">
        <is>
          <t>Aceli LAT — Lender Activation Tool</t>
        </is>
      </c>
    </row>
    <row r="8" ht="22" customHeight="1">
      <c r="B8" s="4" t="inlineStr">
        <is>
          <t>Client / Sponsor</t>
        </is>
      </c>
      <c r="C8" s="5" t="inlineStr">
        <is>
          <t>Aceli Africa / Smallholder Foundation</t>
        </is>
      </c>
    </row>
    <row r="9" ht="22" customHeight="1">
      <c r="B9" s="4" t="inlineStr">
        <is>
          <t>Delivery Vendor</t>
        </is>
      </c>
      <c r="C9" s="5" t="inlineStr">
        <is>
          <t>Z.ai Delivery (Aceli LAT Pod)</t>
        </is>
      </c>
    </row>
    <row r="10" ht="22" customHeight="1">
      <c r="B10" s="4" t="inlineStr">
        <is>
          <t>Project Manager</t>
        </is>
      </c>
      <c r="C10" s="5" t="inlineStr">
        <is>
          <t>Karthick Sivaraj</t>
        </is>
      </c>
    </row>
    <row r="11" ht="22" customHeight="1">
      <c r="B11" s="4" t="inlineStr">
        <is>
          <t>Executive Sponsor</t>
        </is>
      </c>
      <c r="C11" s="5" t="inlineStr">
        <is>
          <t>Aceli Program Director</t>
        </is>
      </c>
    </row>
    <row r="12" ht="22" customHeight="1">
      <c r="B12" s="4" t="inlineStr">
        <is>
          <t>Document Version</t>
        </is>
      </c>
      <c r="C12" s="5" t="inlineStr">
        <is>
          <t>v1.0</t>
        </is>
      </c>
    </row>
    <row r="13" ht="22" customHeight="1">
      <c r="B13" s="4" t="inlineStr">
        <is>
          <t>Date Issued</t>
        </is>
      </c>
      <c r="C13" s="5" t="inlineStr">
        <is>
          <t>2026-06-18</t>
        </is>
      </c>
    </row>
    <row r="14" ht="22" customHeight="1">
      <c r="B14" s="4" t="inlineStr">
        <is>
          <t>Currency</t>
        </is>
      </c>
      <c r="C14" s="5" t="inlineStr">
        <is>
          <t>USD</t>
        </is>
      </c>
    </row>
    <row r="15" ht="22" customHeight="1">
      <c r="B15" s="4" t="inlineStr">
        <is>
          <t>Total Duration</t>
        </is>
      </c>
      <c r="C15" s="5" t="inlineStr">
        <is>
          <t>32 weeks  (8 sprints)</t>
        </is>
      </c>
    </row>
    <row r="16" ht="22" customHeight="1">
      <c r="B16" s="4" t="inlineStr">
        <is>
          <t>Sprint Coverage</t>
        </is>
      </c>
      <c r="C16" s="5" t="inlineStr">
        <is>
          <t>Sprint 0 (Mobilization)  →  Sprint 7 (Rollout Wave 1 &amp; Hypercare)</t>
        </is>
      </c>
    </row>
    <row r="17" ht="22" customHeight="1">
      <c r="B17" s="4" t="inlineStr">
        <is>
          <t>Engagement Model</t>
        </is>
      </c>
      <c r="C17" s="5" t="inlineStr">
        <is>
          <t>Fixed-scope milestone billing with time-and-materials change control</t>
        </is>
      </c>
    </row>
    <row r="20" ht="24" customHeight="1">
      <c r="B20" s="6" t="inlineStr">
        <is>
          <t>WORKBOOK CONTENTS</t>
        </is>
      </c>
    </row>
    <row r="21" ht="20" customHeight="1">
      <c r="B21" s="7" t="inlineStr">
        <is>
          <t>1. Cover</t>
        </is>
      </c>
      <c r="C21" s="5" t="inlineStr">
        <is>
          <t>Project identification, document control, table of contents</t>
        </is>
      </c>
    </row>
    <row r="22" ht="20" customHeight="1">
      <c r="B22" s="7" t="inlineStr">
        <is>
          <t>2. Executive Summary</t>
        </is>
      </c>
      <c r="C22" s="5" t="inlineStr">
        <is>
          <t>Headline KPIs, total cost, funding snapshot, narrative summary</t>
        </is>
      </c>
    </row>
    <row r="23" ht="20" customHeight="1">
      <c r="B23" s="7" t="inlineStr">
        <is>
          <t>3. Sprint Budget</t>
        </is>
      </c>
      <c r="C23" s="5" t="inlineStr">
        <is>
          <t>Sprint-by-sprint cost breakdown across 6 cost dimensions</t>
        </is>
      </c>
    </row>
    <row r="24" ht="20" customHeight="1">
      <c r="B24" s="7" t="inlineStr">
        <is>
          <t>4. Resource Costing</t>
        </is>
      </c>
      <c r="C24" s="5" t="inlineStr">
        <is>
          <t>Role-based rate card, man-day allocation, FTE distribution</t>
        </is>
      </c>
    </row>
    <row r="25" ht="20" customHeight="1">
      <c r="B25" s="7" t="inlineStr">
        <is>
          <t>5. Cost by Category</t>
        </is>
      </c>
      <c r="C25" s="5" t="inlineStr">
        <is>
          <t>Capex/Opex split across 8 cost categories</t>
        </is>
      </c>
    </row>
    <row r="26" ht="20" customHeight="1">
      <c r="B26" s="7" t="inlineStr">
        <is>
          <t>6. Development Timeline</t>
        </is>
      </c>
      <c r="C26" s="5" t="inlineStr">
        <is>
          <t>32-week sprint calendar with phases and milestones</t>
        </is>
      </c>
    </row>
    <row r="27" ht="20" customHeight="1">
      <c r="B27" s="7" t="inlineStr">
        <is>
          <t>7. Payment Milestones</t>
        </is>
      </c>
      <c r="C27" s="5" t="inlineStr">
        <is>
          <t>Milestone-based billing schedule (M1–M8)</t>
        </is>
      </c>
    </row>
    <row r="28" ht="20" customHeight="1">
      <c r="B28" s="7" t="inlineStr">
        <is>
          <t>8. Risk &amp; Contingency</t>
        </is>
      </c>
      <c r="C28" s="5" t="inlineStr">
        <is>
          <t>Risk register, scenario analysis, reserve drawdown plan</t>
        </is>
      </c>
    </row>
    <row r="29" ht="20" customHeight="1">
      <c r="B29" s="7" t="inlineStr">
        <is>
          <t>9. Assumptions</t>
        </is>
      </c>
      <c r="C29" s="5" t="inlineStr">
        <is>
          <t>Pricing basis, inclusions, exclusions, change-control rules</t>
        </is>
      </c>
    </row>
    <row r="32">
      <c r="B32" s="8" t="inlineStr">
        <is>
          <t>CONFIDENTIAL — Prepared by Z.ai Delivery for Aceli Africa. Distribution restricted to named stakeholders.</t>
        </is>
      </c>
    </row>
  </sheetData>
  <mergeCells count="5">
    <mergeCell ref="B2:C2"/>
    <mergeCell ref="B3:C3"/>
    <mergeCell ref="B20:C20"/>
    <mergeCell ref="B32:C32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3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15" customHeight="1"/>
    <row r="2" ht="32" customHeight="1">
      <c r="B2" s="9" t="inlineStr">
        <is>
          <t>Executive Summary  —  Aceli LAT Budget &amp; Timeline</t>
        </is>
      </c>
    </row>
    <row r="3" ht="8" customHeight="1">
      <c r="B3" s="10" t="inlineStr">
        <is>
          <t>Issued 2026-06-18  |  Engagement window: 2026-01-12 → 2026-07-24  |  Currency: USD</t>
        </is>
      </c>
    </row>
    <row r="5" ht="32" customHeight="1">
      <c r="B5" s="11" t="n">
        <v>589600</v>
      </c>
      <c r="D5" s="12" t="n">
        <v>47168</v>
      </c>
      <c r="F5" s="13" t="n">
        <v>636768</v>
      </c>
    </row>
    <row r="6" ht="14" customHeight="1">
      <c r="B6" s="14" t="inlineStr">
        <is>
          <t>BASE BUDGET (USD)</t>
        </is>
      </c>
      <c r="D6" s="14" t="inlineStr">
        <is>
          <t>RISK RESERVE (8%)</t>
        </is>
      </c>
      <c r="F6" s="14" t="inlineStr">
        <is>
          <t>TOTAL ENGAGEMENT (USD)</t>
        </is>
      </c>
    </row>
    <row r="8" ht="32" customHeight="1">
      <c r="B8" s="11" t="n">
        <v>73700</v>
      </c>
      <c r="D8" s="11" t="n">
        <v>18425</v>
      </c>
      <c r="F8" s="15" t="n">
        <v>8</v>
      </c>
    </row>
    <row r="9" ht="14" customHeight="1">
      <c r="B9" s="14" t="inlineStr">
        <is>
          <t>AVG COST / SPRINT (USD)</t>
        </is>
      </c>
      <c r="D9" s="14" t="inlineStr">
        <is>
          <t>AVG COST / WEEK (USD)</t>
        </is>
      </c>
      <c r="F9" s="14" t="inlineStr">
        <is>
          <t>SPRINTS</t>
        </is>
      </c>
    </row>
    <row r="11" ht="24" customHeight="1">
      <c r="B11" s="6" t="inlineStr">
        <is>
          <t>ENGAGEMENT SUMMARY</t>
        </is>
      </c>
    </row>
    <row r="12" ht="22" customHeight="1">
      <c r="B12" s="16" t="inlineStr">
        <is>
          <t>This workbook presents the consolidated budget, development timeline, and costing breakdown for the Aceli Lender Activation Tool (LAT) — an AI-enabled lender relationship intelligence platform deployed across Aceli Africa's smallholder lending program. The engagement is structured as 8 sprints (Sprint 0 through Sprint 7) spanning 32 calendar weeks from 12 January 2026 to 24 July 2026.
The base budget of $589,600 covers all personnel, cloud infrastructure, third-party APIs, tooling, and field operations required to take the platform from mobilization through Wave 1 rollout and hypercare. An 8% risk reserve of $47,168 is held against seven identified risk items (see Sheet 8) and is drawn only against approved risk realisations with sponsor sign-off.
Personnel represents the dominant cost driver at 82.4% of base budget, reflecting the AI-augmented engineering pod model. Direct costs (infrastructure, tools, third-party APIs, and field travel) account for the remaining 17.6%. The engagement is billed via 8 milestone payments (M1–M8) tied to sprint completion and acceptance, with the largest single milestone (20%) triggered at Architecture &amp; Design Sign-off (Sprint 2).</t>
        </is>
      </c>
    </row>
    <row r="13" ht="22" customHeight="1"/>
    <row r="14" ht="22" customHeight="1"/>
    <row r="15" ht="22" customHeight="1"/>
    <row r="16" ht="22" customHeight="1"/>
    <row r="17" ht="22" customHeight="1"/>
    <row r="18" ht="22" customHeight="1"/>
    <row r="20" ht="24" customHeight="1">
      <c r="B20" s="6" t="inlineStr">
        <is>
          <t>FUNDING SNAPSHOT</t>
        </is>
      </c>
    </row>
    <row r="22" ht="28" customHeight="1">
      <c r="B22" s="17" t="inlineStr">
        <is>
          <t>Component</t>
        </is>
      </c>
      <c r="C22" s="17" t="inlineStr">
        <is>
          <t>USD</t>
        </is>
      </c>
      <c r="D22" s="17" t="inlineStr">
        <is>
          <t>% of Base</t>
        </is>
      </c>
      <c r="E22" s="17" t="inlineStr">
        <is>
          <t>Notes</t>
        </is>
      </c>
      <c r="F22" s="18" t="n"/>
      <c r="G22" s="18" t="n"/>
      <c r="H22" s="18" t="n"/>
    </row>
    <row r="23" ht="22" customHeight="1">
      <c r="B23" s="19" t="inlineStr">
        <is>
          <t>Personnel — Engineering</t>
        </is>
      </c>
      <c r="C23" s="20" t="n">
        <v>290483</v>
      </c>
      <c r="D23" s="21">
        <f>IFERROR(C23/$C$31,0)</f>
        <v/>
      </c>
      <c r="E23" s="22" t="inlineStr">
        <is>
          <t>Full-stack, backend, AI/LLM, DevSecOps</t>
        </is>
      </c>
      <c r="F23" s="19" t="n"/>
      <c r="G23" s="19" t="n"/>
      <c r="H23" s="19" t="n"/>
    </row>
    <row r="24" ht="22" customHeight="1">
      <c r="B24" s="23" t="inlineStr">
        <is>
          <t>Personnel — Design &amp; BA</t>
        </is>
      </c>
      <c r="C24" s="24" t="n">
        <v>78207</v>
      </c>
      <c r="D24" s="25">
        <f>IFERROR(C24/$C$31,0)</f>
        <v/>
      </c>
      <c r="E24" s="26" t="inlineStr">
        <is>
          <t>UX, BA, field research</t>
        </is>
      </c>
      <c r="F24" s="23" t="n"/>
      <c r="G24" s="23" t="n"/>
      <c r="H24" s="23" t="n"/>
    </row>
    <row r="25" ht="22" customHeight="1">
      <c r="B25" s="19" t="inlineStr">
        <is>
          <t>Personnel — PM &amp; Governance</t>
        </is>
      </c>
      <c r="C25" s="20" t="n">
        <v>61448</v>
      </c>
      <c r="D25" s="21">
        <f>IFERROR(C25/$C$31,0)</f>
        <v/>
      </c>
      <c r="E25" s="22" t="inlineStr">
        <is>
          <t>PM, architecture, security/compliance</t>
        </is>
      </c>
      <c r="F25" s="19" t="n"/>
      <c r="G25" s="19" t="n"/>
      <c r="H25" s="19" t="n"/>
    </row>
    <row r="26" ht="22" customHeight="1">
      <c r="B26" s="23" t="inlineStr">
        <is>
          <t>Personnel — QA &amp; Training</t>
        </is>
      </c>
      <c r="C26" s="24" t="n">
        <v>55862</v>
      </c>
      <c r="D26" s="25">
        <f>IFERROR(C26/$C$31,0)</f>
        <v/>
      </c>
      <c r="E26" s="26" t="inlineStr">
        <is>
          <t>QA lead, change mgmt, tech writing</t>
        </is>
      </c>
      <c r="F26" s="23" t="n"/>
      <c r="G26" s="23" t="n"/>
      <c r="H26" s="23" t="n"/>
    </row>
    <row r="27" ht="22" customHeight="1">
      <c r="B27" s="19" t="inlineStr">
        <is>
          <t>Cloud Infrastructure</t>
        </is>
      </c>
      <c r="C27" s="20" t="n">
        <v>33600</v>
      </c>
      <c r="D27" s="21">
        <f>IFERROR(C27/$C$31,0)</f>
        <v/>
      </c>
      <c r="E27" s="22" t="inlineStr">
        <is>
          <t>Neon PG, Vercel, R2, egress</t>
        </is>
      </c>
      <c r="F27" s="19" t="n"/>
      <c r="G27" s="19" t="n"/>
      <c r="H27" s="19" t="n"/>
    </row>
    <row r="28" ht="22" customHeight="1">
      <c r="B28" s="23" t="inlineStr">
        <is>
          <t>Third-party APIs &amp; Licenses</t>
        </is>
      </c>
      <c r="C28" s="24" t="n">
        <v>33200</v>
      </c>
      <c r="D28" s="25">
        <f>IFERROR(C28/$C$31,0)</f>
        <v/>
      </c>
      <c r="E28" s="26" t="inlineStr">
        <is>
          <t>OpenAI, Anthropic, Salesforce, Twilio</t>
        </is>
      </c>
      <c r="F28" s="23" t="n"/>
      <c r="G28" s="23" t="n"/>
      <c r="H28" s="23" t="n"/>
    </row>
    <row r="29" ht="22" customHeight="1">
      <c r="B29" s="19" t="inlineStr">
        <is>
          <t>Tooling &amp; Dev Productivity</t>
        </is>
      </c>
      <c r="C29" s="20" t="n">
        <v>21800</v>
      </c>
      <c r="D29" s="21">
        <f>IFERROR(C29/$C$31,0)</f>
        <v/>
      </c>
      <c r="E29" s="22" t="inlineStr">
        <is>
          <t>GitHub, Linear, Sentry, Figma, Notion</t>
        </is>
      </c>
      <c r="F29" s="19" t="n"/>
      <c r="G29" s="19" t="n"/>
      <c r="H29" s="19" t="n"/>
    </row>
    <row r="30" ht="22" customHeight="1">
      <c r="B30" s="23" t="inlineStr">
        <is>
          <t>Field Travel &amp; Stakeholder Ops</t>
        </is>
      </c>
      <c r="C30" s="24" t="n">
        <v>15000</v>
      </c>
      <c r="D30" s="25">
        <f>IFERROR(C30/$C$31,0)</f>
        <v/>
      </c>
      <c r="E30" s="26" t="inlineStr">
        <is>
          <t>Country visits, workshops, training</t>
        </is>
      </c>
      <c r="F30" s="23" t="n"/>
      <c r="G30" s="23" t="n"/>
      <c r="H30" s="23" t="n"/>
    </row>
    <row r="31" ht="26" customHeight="1">
      <c r="B31" s="27" t="inlineStr">
        <is>
          <t>BASE BUDGET SUBTOTAL</t>
        </is>
      </c>
      <c r="C31" s="28" t="n">
        <v>589600</v>
      </c>
      <c r="D31" s="29" t="n">
        <v>1</v>
      </c>
      <c r="E31" s="30" t="inlineStr">
        <is>
          <t>Sum of all categories above</t>
        </is>
      </c>
      <c r="F31" s="27" t="n"/>
      <c r="G31" s="27" t="n"/>
      <c r="H31" s="27" t="n"/>
    </row>
    <row r="32" ht="22" customHeight="1">
      <c r="B32" s="23" t="inlineStr">
        <is>
          <t>Risk Reserve (8%)</t>
        </is>
      </c>
      <c r="C32" s="24" t="n">
        <v>47168</v>
      </c>
      <c r="D32" s="25" t="n">
        <v>0.08</v>
      </c>
      <c r="E32" s="26" t="inlineStr">
        <is>
          <t>Contingency against R1–R7 (Sheet 8)</t>
        </is>
      </c>
      <c r="F32" s="23" t="n"/>
      <c r="G32" s="23" t="n"/>
      <c r="H32" s="23" t="n"/>
    </row>
    <row r="33" ht="26" customHeight="1">
      <c r="B33" s="27" t="inlineStr">
        <is>
          <t>TOTAL ENGAGEMENT VALUE</t>
        </is>
      </c>
      <c r="C33" s="28" t="n">
        <v>636768</v>
      </c>
      <c r="D33" s="29">
        <f>IFERROR(C33/$C$31,0)</f>
        <v/>
      </c>
      <c r="E33" s="30" t="inlineStr">
        <is>
          <t>Base + Reserve. Excludes Wave 2.</t>
        </is>
      </c>
      <c r="F33" s="27" t="n"/>
      <c r="G33" s="27" t="n"/>
      <c r="H33" s="27" t="n"/>
    </row>
  </sheetData>
  <mergeCells count="17">
    <mergeCell ref="E23:H23"/>
    <mergeCell ref="E26:H26"/>
    <mergeCell ref="E27:H27"/>
    <mergeCell ref="E31:H31"/>
    <mergeCell ref="E24:H24"/>
    <mergeCell ref="E30:H30"/>
    <mergeCell ref="B2:H2"/>
    <mergeCell ref="E29:H29"/>
    <mergeCell ref="E25:H25"/>
    <mergeCell ref="B11:H11"/>
    <mergeCell ref="E33:H33"/>
    <mergeCell ref="B3:H3"/>
    <mergeCell ref="E32:H32"/>
    <mergeCell ref="B20:H20"/>
    <mergeCell ref="E28:H28"/>
    <mergeCell ref="B12:H18"/>
    <mergeCell ref="E22:H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N29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8" customWidth="1" min="2" max="2"/>
    <col width="32" customWidth="1" min="3" max="3"/>
    <col width="12" customWidth="1" min="4" max="4"/>
    <col width="9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15" customHeight="1"/>
    <row r="2" ht="32" customHeight="1">
      <c r="B2" s="9" t="inlineStr">
        <is>
          <t>Sprint-by-Sprint Budget Breakdown  (USD)</t>
        </is>
      </c>
    </row>
    <row r="3" ht="8" customHeight="1">
      <c r="B3" s="10" t="inlineStr">
        <is>
          <t>8 sprints  |  32 weeks  |  2026-01-12 → 2026-07-24  |  All amounts in USD</t>
        </is>
      </c>
    </row>
    <row r="5" ht="28" customHeight="1">
      <c r="B5" s="17" t="inlineStr">
        <is>
          <t>Sprint</t>
        </is>
      </c>
      <c r="C5" s="17" t="inlineStr">
        <is>
          <t>Name</t>
        </is>
      </c>
      <c r="D5" s="17" t="inlineStr">
        <is>
          <t>Phase</t>
        </is>
      </c>
      <c r="E5" s="17" t="inlineStr">
        <is>
          <t>Weeks</t>
        </is>
      </c>
      <c r="F5" s="17" t="inlineStr">
        <is>
          <t>Personnel</t>
        </is>
      </c>
      <c r="G5" s="17" t="inlineStr">
        <is>
          <t>Infra</t>
        </is>
      </c>
      <c r="H5" s="17" t="inlineStr">
        <is>
          <t>Tools</t>
        </is>
      </c>
      <c r="I5" s="17" t="inlineStr">
        <is>
          <t>3rd-Party</t>
        </is>
      </c>
      <c r="J5" s="17" t="inlineStr">
        <is>
          <t>Travel</t>
        </is>
      </c>
      <c r="K5" s="17" t="inlineStr">
        <is>
          <t>Sprint Total</t>
        </is>
      </c>
      <c r="L5" s="17" t="inlineStr">
        <is>
          <t>% of Base</t>
        </is>
      </c>
      <c r="M5" s="17" t="inlineStr">
        <is>
          <t>Start</t>
        </is>
      </c>
      <c r="N5" s="17" t="inlineStr">
        <is>
          <t>End</t>
        </is>
      </c>
    </row>
    <row r="6" ht="26" customHeight="1">
      <c r="B6" s="31" t="inlineStr">
        <is>
          <t>S0</t>
        </is>
      </c>
      <c r="C6" s="19" t="inlineStr">
        <is>
          <t>Mobilization &amp; Foundations</t>
        </is>
      </c>
      <c r="D6" s="31" t="inlineStr">
        <is>
          <t>Initiate</t>
        </is>
      </c>
      <c r="E6" s="31" t="n">
        <v>2</v>
      </c>
      <c r="F6" s="32" t="n">
        <v>28000</v>
      </c>
      <c r="G6" s="32" t="n">
        <v>1500</v>
      </c>
      <c r="H6" s="32" t="n">
        <v>1200</v>
      </c>
      <c r="I6" s="32" t="n">
        <v>0</v>
      </c>
      <c r="J6" s="32" t="n">
        <v>0</v>
      </c>
      <c r="K6" s="32" t="n">
        <v>30700</v>
      </c>
      <c r="L6" s="33">
        <f>IFERROR(K6/$K$15,0)</f>
        <v/>
      </c>
      <c r="M6" s="31" t="inlineStr">
        <is>
          <t>2026-01-12</t>
        </is>
      </c>
      <c r="N6" s="31" t="inlineStr">
        <is>
          <t>2026-01-23</t>
        </is>
      </c>
    </row>
    <row r="7" ht="26" customHeight="1">
      <c r="B7" s="34" t="inlineStr">
        <is>
          <t>S1</t>
        </is>
      </c>
      <c r="C7" s="23" t="inlineStr">
        <is>
          <t>Discovery &amp; Requirements</t>
        </is>
      </c>
      <c r="D7" s="34" t="inlineStr">
        <is>
          <t>Discover</t>
        </is>
      </c>
      <c r="E7" s="34" t="n">
        <v>4</v>
      </c>
      <c r="F7" s="35" t="n">
        <v>64000</v>
      </c>
      <c r="G7" s="35" t="n">
        <v>2200</v>
      </c>
      <c r="H7" s="35" t="n">
        <v>1800</v>
      </c>
      <c r="I7" s="35" t="n">
        <v>4500</v>
      </c>
      <c r="J7" s="35" t="n">
        <v>3500</v>
      </c>
      <c r="K7" s="35" t="n">
        <v>76000</v>
      </c>
      <c r="L7" s="36">
        <f>IFERROR(K7/$K$15,0)</f>
        <v/>
      </c>
      <c r="M7" s="34" t="inlineStr">
        <is>
          <t>2026-01-26</t>
        </is>
      </c>
      <c r="N7" s="34" t="inlineStr">
        <is>
          <t>2026-02-20</t>
        </is>
      </c>
    </row>
    <row r="8" ht="26" customHeight="1">
      <c r="B8" s="31" t="inlineStr">
        <is>
          <t>S2</t>
        </is>
      </c>
      <c r="C8" s="19" t="inlineStr">
        <is>
          <t>Architecture &amp; Design Sign-off</t>
        </is>
      </c>
      <c r="D8" s="31" t="inlineStr">
        <is>
          <t>Design</t>
        </is>
      </c>
      <c r="E8" s="31" t="n">
        <v>4</v>
      </c>
      <c r="F8" s="32" t="n">
        <v>72000</v>
      </c>
      <c r="G8" s="32" t="n">
        <v>3800</v>
      </c>
      <c r="H8" s="32" t="n">
        <v>2400</v>
      </c>
      <c r="I8" s="32" t="n">
        <v>6500</v>
      </c>
      <c r="J8" s="32" t="n">
        <v>0</v>
      </c>
      <c r="K8" s="32" t="n">
        <v>84700</v>
      </c>
      <c r="L8" s="33">
        <f>IFERROR(K8/$K$15,0)</f>
        <v/>
      </c>
      <c r="M8" s="31" t="inlineStr">
        <is>
          <t>2026-02-23</t>
        </is>
      </c>
      <c r="N8" s="31" t="inlineStr">
        <is>
          <t>2026-03-20</t>
        </is>
      </c>
    </row>
    <row r="9" ht="26" customHeight="1">
      <c r="B9" s="34" t="inlineStr">
        <is>
          <t>S3</t>
        </is>
      </c>
      <c r="C9" s="23" t="inlineStr">
        <is>
          <t>Foundation Build &amp; DevSecOps</t>
        </is>
      </c>
      <c r="D9" s="34" t="inlineStr">
        <is>
          <t>Build</t>
        </is>
      </c>
      <c r="E9" s="34" t="n">
        <v>3</v>
      </c>
      <c r="F9" s="35" t="n">
        <v>56000</v>
      </c>
      <c r="G9" s="35" t="n">
        <v>4500</v>
      </c>
      <c r="H9" s="35" t="n">
        <v>3200</v>
      </c>
      <c r="I9" s="35" t="n">
        <v>2200</v>
      </c>
      <c r="J9" s="35" t="n">
        <v>0</v>
      </c>
      <c r="K9" s="35" t="n">
        <v>65900</v>
      </c>
      <c r="L9" s="36">
        <f>IFERROR(K9/$K$15,0)</f>
        <v/>
      </c>
      <c r="M9" s="34" t="inlineStr">
        <is>
          <t>2026-03-23</t>
        </is>
      </c>
      <c r="N9" s="34" t="inlineStr">
        <is>
          <t>2026-04-10</t>
        </is>
      </c>
    </row>
    <row r="10" ht="26" customHeight="1">
      <c r="B10" s="31" t="inlineStr">
        <is>
          <t>S4</t>
        </is>
      </c>
      <c r="C10" s="19" t="inlineStr">
        <is>
          <t>Capture &amp; AI Draft Build</t>
        </is>
      </c>
      <c r="D10" s="31" t="inlineStr">
        <is>
          <t>Build</t>
        </is>
      </c>
      <c r="E10" s="31" t="n">
        <v>4</v>
      </c>
      <c r="F10" s="32" t="n">
        <v>78000</v>
      </c>
      <c r="G10" s="32" t="n">
        <v>5200</v>
      </c>
      <c r="H10" s="32" t="n">
        <v>3800</v>
      </c>
      <c r="I10" s="32" t="n">
        <v>9500</v>
      </c>
      <c r="J10" s="32" t="n">
        <v>1800</v>
      </c>
      <c r="K10" s="32" t="n">
        <v>98300</v>
      </c>
      <c r="L10" s="33">
        <f>IFERROR(K10/$K$15,0)</f>
        <v/>
      </c>
      <c r="M10" s="31" t="inlineStr">
        <is>
          <t>2026-04-13</t>
        </is>
      </c>
      <c r="N10" s="31" t="inlineStr">
        <is>
          <t>2026-05-08</t>
        </is>
      </c>
    </row>
    <row r="11" ht="26" customHeight="1">
      <c r="B11" s="34" t="inlineStr">
        <is>
          <t>S5</t>
        </is>
      </c>
      <c r="C11" s="23" t="inlineStr">
        <is>
          <t>Review, Sync &amp; Governance Build</t>
        </is>
      </c>
      <c r="D11" s="34" t="inlineStr">
        <is>
          <t>Build</t>
        </is>
      </c>
      <c r="E11" s="34" t="n">
        <v>3</v>
      </c>
      <c r="F11" s="35" t="n">
        <v>58000</v>
      </c>
      <c r="G11" s="35" t="n">
        <v>4100</v>
      </c>
      <c r="H11" s="35" t="n">
        <v>2900</v>
      </c>
      <c r="I11" s="35" t="n">
        <v>4500</v>
      </c>
      <c r="J11" s="35" t="n">
        <v>0</v>
      </c>
      <c r="K11" s="35" t="n">
        <v>69500</v>
      </c>
      <c r="L11" s="36">
        <f>IFERROR(K11/$K$15,0)</f>
        <v/>
      </c>
      <c r="M11" s="34" t="inlineStr">
        <is>
          <t>2026-05-11</t>
        </is>
      </c>
      <c r="N11" s="34" t="inlineStr">
        <is>
          <t>2026-05-29</t>
        </is>
      </c>
    </row>
    <row r="12" ht="26" customHeight="1">
      <c r="B12" s="31" t="inlineStr">
        <is>
          <t>S6</t>
        </is>
      </c>
      <c r="C12" s="19" t="inlineStr">
        <is>
          <t>UAT, Pilot Prep &amp; Integration Test</t>
        </is>
      </c>
      <c r="D12" s="31" t="inlineStr">
        <is>
          <t>Validate</t>
        </is>
      </c>
      <c r="E12" s="31" t="n">
        <v>4</v>
      </c>
      <c r="F12" s="32" t="n">
        <v>68000</v>
      </c>
      <c r="G12" s="32" t="n">
        <v>5800</v>
      </c>
      <c r="H12" s="32" t="n">
        <v>3400</v>
      </c>
      <c r="I12" s="32" t="n">
        <v>3500</v>
      </c>
      <c r="J12" s="32" t="n">
        <v>4200</v>
      </c>
      <c r="K12" s="32" t="n">
        <v>84900</v>
      </c>
      <c r="L12" s="33">
        <f>IFERROR(K12/$K$15,0)</f>
        <v/>
      </c>
      <c r="M12" s="31" t="inlineStr">
        <is>
          <t>2026-06-01</t>
        </is>
      </c>
      <c r="N12" s="31" t="inlineStr">
        <is>
          <t>2026-06-26</t>
        </is>
      </c>
    </row>
    <row r="13" ht="26" customHeight="1">
      <c r="B13" s="34" t="inlineStr">
        <is>
          <t>S7</t>
        </is>
      </c>
      <c r="C13" s="23" t="inlineStr">
        <is>
          <t>Rollout Wave 1 &amp; Hypercare</t>
        </is>
      </c>
      <c r="D13" s="34" t="inlineStr">
        <is>
          <t>Deploy</t>
        </is>
      </c>
      <c r="E13" s="34" t="n">
        <v>4</v>
      </c>
      <c r="F13" s="35" t="n">
        <v>62000</v>
      </c>
      <c r="G13" s="35" t="n">
        <v>6500</v>
      </c>
      <c r="H13" s="35" t="n">
        <v>3100</v>
      </c>
      <c r="I13" s="35" t="n">
        <v>2500</v>
      </c>
      <c r="J13" s="35" t="n">
        <v>5500</v>
      </c>
      <c r="K13" s="35" t="n">
        <v>79600</v>
      </c>
      <c r="L13" s="36">
        <f>IFERROR(K13/$K$15,0)</f>
        <v/>
      </c>
      <c r="M13" s="34" t="inlineStr">
        <is>
          <t>2026-06-29</t>
        </is>
      </c>
      <c r="N13" s="34" t="inlineStr">
        <is>
          <t>2026-07-24</t>
        </is>
      </c>
    </row>
    <row r="14" ht="28" customHeight="1">
      <c r="B14" s="27" t="inlineStr">
        <is>
          <t>TOTAL</t>
        </is>
      </c>
      <c r="C14" s="27" t="inlineStr">
        <is>
          <t>All Sprints (S0–S7)</t>
        </is>
      </c>
      <c r="D14" s="37">
        <f>SUM(E6:E13)</f>
        <v/>
      </c>
      <c r="E14" s="38" t="n"/>
      <c r="F14" s="39">
        <f>SUM(F6:F13)</f>
        <v/>
      </c>
      <c r="G14" s="39">
        <f>SUM(G6:G13)</f>
        <v/>
      </c>
      <c r="H14" s="39">
        <f>SUM(H6:H13)</f>
        <v/>
      </c>
      <c r="I14" s="39">
        <f>SUM(I6:I13)</f>
        <v/>
      </c>
      <c r="J14" s="39">
        <f>SUM(J6:J13)</f>
        <v/>
      </c>
      <c r="K14" s="39">
        <f>SUM(K6:K13)</f>
        <v/>
      </c>
      <c r="L14" s="40" t="n">
        <v>1</v>
      </c>
      <c r="M14" s="27" t="n"/>
      <c r="N14" s="27" t="n"/>
    </row>
    <row r="15" ht="26" customHeight="1">
      <c r="B15" s="41" t="inlineStr">
        <is>
          <t>BASE BUDGET</t>
        </is>
      </c>
      <c r="C15" t="inlineStr">
        <is>
          <t>Sum of all sprint totals</t>
        </is>
      </c>
      <c r="K15" s="42">
        <f>K14</f>
        <v/>
      </c>
    </row>
    <row r="16" ht="26" customHeight="1">
      <c r="B16" s="43" t="inlineStr">
        <is>
          <t>RISK RESERVE</t>
        </is>
      </c>
      <c r="C16" t="inlineStr">
        <is>
          <t>8% contingency (see Sheet 8)</t>
        </is>
      </c>
      <c r="K16" s="44">
        <f>ROUND(K15*0.08,0)</f>
        <v/>
      </c>
    </row>
    <row r="17" ht="30" customHeight="1">
      <c r="B17" s="45" t="inlineStr">
        <is>
          <t>GRAND TOTAL</t>
        </is>
      </c>
      <c r="C17" t="inlineStr">
        <is>
          <t>Base + Reserve  |  Excludes Wave 2</t>
        </is>
      </c>
      <c r="K17" s="46">
        <f>K15+K16</f>
        <v/>
      </c>
    </row>
    <row r="20" ht="24" customHeight="1">
      <c r="B20" s="6" t="inlineStr">
        <is>
          <t>SPRINT DELIVERABLES</t>
        </is>
      </c>
    </row>
    <row r="21" ht="28" customHeight="1">
      <c r="B21" s="17" t="inlineStr">
        <is>
          <t>Sprint</t>
        </is>
      </c>
      <c r="C21" s="17" t="inlineStr">
        <is>
          <t>Key Deliverables</t>
        </is>
      </c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</row>
    <row r="22" ht="38" customHeight="1">
      <c r="B22" s="47" t="inlineStr">
        <is>
          <t>S0</t>
        </is>
      </c>
      <c r="C22" s="48" t="inlineStr">
        <is>
          <t>Charter, RTM v1, Vision Brief, Governance, AI Agent Rules, Env Strategy, Security/Tenant Checklist, Docs Index, Release Notes v0.1.0</t>
        </is>
      </c>
    </row>
    <row r="23" ht="38" customHeight="1">
      <c r="B23" s="49" t="inlineStr">
        <is>
          <t>S1</t>
        </is>
      </c>
      <c r="C23" s="50" t="inlineStr">
        <is>
          <t>BRD, PRD, Stakeholder Matrix, Process Map, Persona Pack, User Story Catalogue, Baseline Plan + Template, Release Notes v0.2.0</t>
        </is>
      </c>
    </row>
    <row r="24" ht="38" customHeight="1">
      <c r="B24" s="47" t="inlineStr">
        <is>
          <t>S2</t>
        </is>
      </c>
      <c r="C24" s="48" t="inlineStr">
        <is>
          <t>SRS, FRS, Solution Arch, Integration Arch, NFR, RBAC, Data Flow, Sequence Diags, ADR Set, AI Workflow Spec, Exception Workflow, SF Mapping, Release Notes v0.3.0</t>
        </is>
      </c>
    </row>
    <row r="25" ht="38" customHeight="1">
      <c r="B25" s="49" t="inlineStr">
        <is>
          <t>S3</t>
        </is>
      </c>
      <c r="C25" s="50" t="inlineStr">
        <is>
          <t>Eng Standards, API Standards, CI/CD, DevSecOps Runbook, Env Provisioning, Logging &amp; Observability, Release SOP, ADR Updates, Release Notes v0.4.0</t>
        </is>
      </c>
    </row>
    <row r="26" ht="38" customHeight="1">
      <c r="B26" s="47" t="inlineStr">
        <is>
          <t>S4</t>
        </is>
      </c>
      <c r="C26" s="48" t="inlineStr">
        <is>
          <t>Capture Module Design, Transcription/Extraction Design, Offline Drafting Spec, Field UX Guide, AI Confidence Review Policy, API Contracts v1, Activation Area Mapping, Release Notes v0.5.0</t>
        </is>
      </c>
    </row>
    <row r="27" ht="38" customHeight="1">
      <c r="B27" s="49" t="inlineStr">
        <is>
          <t>S5</t>
        </is>
      </c>
      <c r="C27" s="50" t="inlineStr">
        <is>
          <t>Review Workflow Spec, Exception Handling Spec, Salesforce Sync v1, Validation Rules Catalogue, Audit Trail Spec, Reviewer SOP, Updated FRS/SRS, Release Notes v0.6.0</t>
        </is>
      </c>
    </row>
    <row r="28" ht="38" customHeight="1">
      <c r="B28" s="47" t="inlineStr">
        <is>
          <t>S6</t>
        </is>
      </c>
      <c r="C28" s="48" t="inlineStr">
        <is>
          <t>UAT Plan &amp; Scripts, Integration Test Report, Pilot Runbook, Training Material Drafts, Performance &amp; Security Test Report, Defect Triage Log</t>
        </is>
      </c>
    </row>
    <row r="29" ht="38" customHeight="1">
      <c r="B29" s="49" t="inlineStr">
        <is>
          <t>S7</t>
        </is>
      </c>
      <c r="C29" s="50" t="inlineStr">
        <is>
          <t>Rollout Wave 1 Plan, Hypercare SOP, Country Config Checklist, Country Training Pack, Pilot KPI Validation Report, Defect Triage Report, Updated FRS/SRS Sprint 7, Release Notes v1.1.0</t>
        </is>
      </c>
    </row>
  </sheetData>
  <mergeCells count="12">
    <mergeCell ref="B2:M2"/>
    <mergeCell ref="C24:N24"/>
    <mergeCell ref="B3:M3"/>
    <mergeCell ref="C25:N25"/>
    <mergeCell ref="C27:N27"/>
    <mergeCell ref="C28:N28"/>
    <mergeCell ref="C23:N23"/>
    <mergeCell ref="C29:N29"/>
    <mergeCell ref="C22:N22"/>
    <mergeCell ref="C26:N26"/>
    <mergeCell ref="B20:N20"/>
    <mergeCell ref="C21:N21"/>
  </mergeCells>
  <conditionalFormatting sqref="K6:K13">
    <cfRule type="dataBar" priority="1">
      <dataBar showValue="1">
        <cfvo type="min"/>
        <cfvo type="max"/>
        <color rgb="001B2A4A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31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16" customWidth="1" min="5" max="5"/>
    <col width="16" customWidth="1" min="6" max="6"/>
    <col width="12" customWidth="1" min="7" max="7"/>
    <col width="36" customWidth="1" min="8" max="8"/>
  </cols>
  <sheetData>
    <row r="1" ht="15" customHeight="1"/>
    <row r="2" ht="32" customHeight="1">
      <c r="B2" s="9" t="inlineStr">
        <is>
          <t>Resource Costing  —  Role Rate Card &amp; Man-Day Allocation</t>
        </is>
      </c>
    </row>
    <row r="3" ht="8" customHeight="1">
      <c r="B3" s="10" t="inlineStr">
        <is>
          <t>Fully-loaded day rates  |  Man-day projections across Sprint 0–Sprint 7  |  USD</t>
        </is>
      </c>
    </row>
    <row r="5" ht="28" customHeight="1">
      <c r="B5" s="17" t="inlineStr">
        <is>
          <t>Role</t>
        </is>
      </c>
      <c r="C5" s="17" t="inlineStr">
        <is>
          <t>Day Rate (USD)</t>
        </is>
      </c>
      <c r="D5" s="17" t="inlineStr">
        <is>
          <t>Man-Days</t>
        </is>
      </c>
      <c r="E5" s="17" t="inlineStr">
        <is>
          <t>Subtotal (USD)</t>
        </is>
      </c>
      <c r="F5" s="17" t="inlineStr">
        <is>
          <t>% of Personnel</t>
        </is>
      </c>
      <c r="G5" s="17" t="inlineStr">
        <is>
          <t>Sprints Active</t>
        </is>
      </c>
      <c r="H5" s="17" t="inlineStr">
        <is>
          <t>Notes</t>
        </is>
      </c>
    </row>
    <row r="6" ht="24" customHeight="1">
      <c r="B6" s="19" t="inlineStr">
        <is>
          <t>Delivery Lead / PM</t>
        </is>
      </c>
      <c r="C6" s="32" t="n">
        <v>850</v>
      </c>
      <c r="D6" s="51" t="n">
        <v>120</v>
      </c>
      <c r="E6" s="32">
        <f>C6*D6</f>
        <v/>
      </c>
      <c r="F6" s="33">
        <f>IFERROR(E6/$E$20,0)</f>
        <v/>
      </c>
      <c r="G6" s="31" t="inlineStr">
        <is>
          <t>S0-S7</t>
        </is>
      </c>
      <c r="H6" s="22" t="inlineStr">
        <is>
          <t>Single-threaded PM; owns schedule, risk, stakeholder comms</t>
        </is>
      </c>
    </row>
    <row r="7" ht="24" customHeight="1">
      <c r="B7" s="23" t="inlineStr">
        <is>
          <t>Solution Architect</t>
        </is>
      </c>
      <c r="C7" s="35" t="n">
        <v>1100</v>
      </c>
      <c r="D7" s="52" t="n">
        <v>90</v>
      </c>
      <c r="E7" s="35">
        <f>C7*D7</f>
        <v/>
      </c>
      <c r="F7" s="36">
        <f>IFERROR(E7/$E$20,0)</f>
        <v/>
      </c>
      <c r="G7" s="34" t="inlineStr">
        <is>
          <t>S0-S5</t>
        </is>
      </c>
      <c r="H7" s="26" t="inlineStr">
        <is>
          <t>Owns SRS, ADRs, integration architecture; tapers from S6</t>
        </is>
      </c>
    </row>
    <row r="8" ht="24" customHeight="1">
      <c r="B8" s="19" t="inlineStr">
        <is>
          <t>Full-stack Engineer (Next.js)</t>
        </is>
      </c>
      <c r="C8" s="32" t="n">
        <v>700</v>
      </c>
      <c r="D8" s="51" t="n">
        <v>220</v>
      </c>
      <c r="E8" s="32">
        <f>C8*D8</f>
        <v/>
      </c>
      <c r="F8" s="33">
        <f>IFERROR(E8/$E$20,0)</f>
        <v/>
      </c>
      <c r="G8" s="31" t="inlineStr">
        <is>
          <t>S2-S7</t>
        </is>
      </c>
      <c r="H8" s="22" t="inlineStr">
        <is>
          <t>UI, dashboards, review console; largest FTE share</t>
        </is>
      </c>
    </row>
    <row r="9" ht="24" customHeight="1">
      <c r="B9" s="23" t="inlineStr">
        <is>
          <t>Backend / Prisma Engineer</t>
        </is>
      </c>
      <c r="C9" s="35" t="n">
        <v>750</v>
      </c>
      <c r="D9" s="52" t="n">
        <v>150</v>
      </c>
      <c r="E9" s="35">
        <f>C9*D9</f>
        <v/>
      </c>
      <c r="F9" s="36">
        <f>IFERROR(E9/$E$20,0)</f>
        <v/>
      </c>
      <c r="G9" s="34" t="inlineStr">
        <is>
          <t>S2-S7</t>
        </is>
      </c>
      <c r="H9" s="26" t="inlineStr">
        <is>
          <t>Prisma schema, API routes, Salesforce sync, audit trail</t>
        </is>
      </c>
    </row>
    <row r="10" ht="24" customHeight="1">
      <c r="B10" s="19" t="inlineStr">
        <is>
          <t>AI / LLM Engineer</t>
        </is>
      </c>
      <c r="C10" s="32" t="n">
        <v>950</v>
      </c>
      <c r="D10" s="51" t="n">
        <v>110</v>
      </c>
      <c r="E10" s="32">
        <f>C10*D10</f>
        <v/>
      </c>
      <c r="F10" s="33">
        <f>IFERROR(E10/$E$20,0)</f>
        <v/>
      </c>
      <c r="G10" s="31" t="inlineStr">
        <is>
          <t>S2-S7</t>
        </is>
      </c>
      <c r="H10" s="22" t="inlineStr">
        <is>
          <t>Prompt design, RAG, transcription pipeline, confidence scoring</t>
        </is>
      </c>
    </row>
    <row r="11" ht="24" customHeight="1">
      <c r="B11" s="23" t="inlineStr">
        <is>
          <t>Salesforce Integration Spec</t>
        </is>
      </c>
      <c r="C11" s="35" t="n">
        <v>900</v>
      </c>
      <c r="D11" s="52" t="n">
        <v>60</v>
      </c>
      <c r="E11" s="35">
        <f>C11*D11</f>
        <v/>
      </c>
      <c r="F11" s="36">
        <f>IFERROR(E11/$E$20,0)</f>
        <v/>
      </c>
      <c r="G11" s="34" t="inlineStr">
        <is>
          <t>S2,S5,S7</t>
        </is>
      </c>
      <c r="H11" s="26" t="inlineStr">
        <is>
          <t>Object mapping, sync spec, sandbox testing</t>
        </is>
      </c>
    </row>
    <row r="12" ht="24" customHeight="1">
      <c r="B12" s="19" t="inlineStr">
        <is>
          <t>DevSecOps / Platform Engineer</t>
        </is>
      </c>
      <c r="C12" s="32" t="n">
        <v>800</v>
      </c>
      <c r="D12" s="51" t="n">
        <v>85</v>
      </c>
      <c r="E12" s="32">
        <f>C12*D12</f>
        <v/>
      </c>
      <c r="F12" s="33">
        <f>IFERROR(E12/$E$20,0)</f>
        <v/>
      </c>
      <c r="G12" s="31" t="inlineStr">
        <is>
          <t>S3,S4,S6</t>
        </is>
      </c>
      <c r="H12" s="22" t="inlineStr">
        <is>
          <t>CI/CD, env provisioning, observability, security review</t>
        </is>
      </c>
    </row>
    <row r="13" ht="24" customHeight="1">
      <c r="B13" s="23" t="inlineStr">
        <is>
          <t>QA / Test Lead</t>
        </is>
      </c>
      <c r="C13" s="35" t="n">
        <v>650</v>
      </c>
      <c r="D13" s="52" t="n">
        <v>95</v>
      </c>
      <c r="E13" s="35">
        <f>C13*D13</f>
        <v/>
      </c>
      <c r="F13" s="36">
        <f>IFERROR(E13/$E$20,0)</f>
        <v/>
      </c>
      <c r="G13" s="34" t="inlineStr">
        <is>
          <t>S4-S7</t>
        </is>
      </c>
      <c r="H13" s="26" t="inlineStr">
        <is>
          <t>UAT scripts, integration tests, defect triage</t>
        </is>
      </c>
    </row>
    <row r="14" ht="24" customHeight="1">
      <c r="B14" s="19" t="inlineStr">
        <is>
          <t>UX / Product Designer</t>
        </is>
      </c>
      <c r="C14" s="32" t="n">
        <v>700</v>
      </c>
      <c r="D14" s="51" t="n">
        <v>75</v>
      </c>
      <c r="E14" s="32">
        <f>C14*D14</f>
        <v/>
      </c>
      <c r="F14" s="33">
        <f>IFERROR(E14/$E$20,0)</f>
        <v/>
      </c>
      <c r="G14" s="31" t="inlineStr">
        <is>
          <t>S1,S2,S4</t>
        </is>
      </c>
      <c r="H14" s="22" t="inlineStr">
        <is>
          <t>Field UX, persona-driven flows, accessibility</t>
        </is>
      </c>
    </row>
    <row r="15" ht="24" customHeight="1">
      <c r="B15" s="23" t="inlineStr">
        <is>
          <t>Business Analyst</t>
        </is>
      </c>
      <c r="C15" s="35" t="n">
        <v>650</v>
      </c>
      <c r="D15" s="52" t="n">
        <v>100</v>
      </c>
      <c r="E15" s="35">
        <f>C15*D15</f>
        <v/>
      </c>
      <c r="F15" s="36">
        <f>IFERROR(E15/$E$20,0)</f>
        <v/>
      </c>
      <c r="G15" s="34" t="inlineStr">
        <is>
          <t>S0-S2,S5</t>
        </is>
      </c>
      <c r="H15" s="26" t="inlineStr">
        <is>
          <t>BRD, PRD, user stories, baseline measurement</t>
        </is>
      </c>
    </row>
    <row r="16" ht="24" customHeight="1">
      <c r="B16" s="19" t="inlineStr">
        <is>
          <t>Field Research / Survey Lead</t>
        </is>
      </c>
      <c r="C16" s="32" t="n">
        <v>550</v>
      </c>
      <c r="D16" s="51" t="n">
        <v>40</v>
      </c>
      <c r="E16" s="32">
        <f>C16*D16</f>
        <v/>
      </c>
      <c r="F16" s="33">
        <f>IFERROR(E16/$E$20,0)</f>
        <v/>
      </c>
      <c r="G16" s="31" t="inlineStr">
        <is>
          <t>S1,S7</t>
        </is>
      </c>
      <c r="H16" s="22" t="inlineStr">
        <is>
          <t>Stakeholder interviews, country visits, training delivery</t>
        </is>
      </c>
    </row>
    <row r="17" ht="24" customHeight="1">
      <c r="B17" s="23" t="inlineStr">
        <is>
          <t>Technical Writer</t>
        </is>
      </c>
      <c r="C17" s="35" t="n">
        <v>500</v>
      </c>
      <c r="D17" s="52" t="n">
        <v>60</v>
      </c>
      <c r="E17" s="35">
        <f>C17*D17</f>
        <v/>
      </c>
      <c r="F17" s="36">
        <f>IFERROR(E17/$E$20,0)</f>
        <v/>
      </c>
      <c r="G17" s="34" t="inlineStr">
        <is>
          <t>S0,S2,S3,S5,S7</t>
        </is>
      </c>
      <c r="H17" s="26" t="inlineStr">
        <is>
          <t>SRS, FRS, runbooks, SOPs, release notes</t>
        </is>
      </c>
    </row>
    <row r="18" ht="24" customHeight="1">
      <c r="B18" s="19" t="inlineStr">
        <is>
          <t>Change &amp; Training Lead</t>
        </is>
      </c>
      <c r="C18" s="32" t="n">
        <v>700</v>
      </c>
      <c r="D18" s="51" t="n">
        <v>45</v>
      </c>
      <c r="E18" s="32">
        <f>C18*D18</f>
        <v/>
      </c>
      <c r="F18" s="33">
        <f>IFERROR(E18/$E$20,0)</f>
        <v/>
      </c>
      <c r="G18" s="31" t="inlineStr">
        <is>
          <t>S6,S7</t>
        </is>
      </c>
      <c r="H18" s="22" t="inlineStr">
        <is>
          <t>Hypercare, training packs, country enablement</t>
        </is>
      </c>
    </row>
    <row r="19" ht="24" customHeight="1">
      <c r="B19" s="23" t="inlineStr">
        <is>
          <t>Security &amp; Compliance Reviewer</t>
        </is>
      </c>
      <c r="C19" s="35" t="n">
        <v>1100</v>
      </c>
      <c r="D19" s="52" t="n">
        <v>25</v>
      </c>
      <c r="E19" s="35">
        <f>C19*D19</f>
        <v/>
      </c>
      <c r="F19" s="36">
        <f>IFERROR(E19/$E$20,0)</f>
        <v/>
      </c>
      <c r="G19" s="34" t="inlineStr">
        <is>
          <t>S0,S2,S3,S6</t>
        </is>
      </c>
      <c r="H19" s="26" t="inlineStr">
        <is>
          <t>External reviewer; sign-offs at S0, S2, S3, S6</t>
        </is>
      </c>
    </row>
    <row r="20" ht="28" customHeight="1">
      <c r="B20" s="27" t="inlineStr">
        <is>
          <t>TOTAL PERSONNEL</t>
        </is>
      </c>
      <c r="C20" s="38" t="inlineStr">
        <is>
          <t>—</t>
        </is>
      </c>
      <c r="D20" s="53">
        <f>SUM(D6:D19)</f>
        <v/>
      </c>
      <c r="E20" s="39">
        <f>SUM(E6:E19)</f>
        <v/>
      </c>
      <c r="F20" s="40" t="n">
        <v>1</v>
      </c>
      <c r="G20" s="37" t="inlineStr">
        <is>
          <t>S0–S7</t>
        </is>
      </c>
      <c r="H20" s="27" t="n"/>
    </row>
    <row r="23" ht="24" customHeight="1">
      <c r="B23" s="6" t="inlineStr">
        <is>
          <t>MAN-DAY DISTRIBUTION BY PROJECT PHASE</t>
        </is>
      </c>
    </row>
    <row r="24" ht="28" customHeight="1">
      <c r="B24" s="17" t="inlineStr">
        <is>
          <t>Phase</t>
        </is>
      </c>
      <c r="C24" s="17" t="inlineStr">
        <is>
          <t>Sprints</t>
        </is>
      </c>
      <c r="D24" s="17" t="inlineStr">
        <is>
          <t>Engineering MD</t>
        </is>
      </c>
      <c r="E24" s="17" t="inlineStr">
        <is>
          <t>Design/BA MD</t>
        </is>
      </c>
      <c r="F24" s="17" t="inlineStr">
        <is>
          <t>PM/Gov MD</t>
        </is>
      </c>
      <c r="G24" s="17" t="inlineStr">
        <is>
          <t>QA/Train MD</t>
        </is>
      </c>
      <c r="H24" s="17" t="inlineStr">
        <is>
          <t>Phase Total MD</t>
        </is>
      </c>
    </row>
    <row r="25" ht="22" customHeight="1">
      <c r="B25" s="19" t="inlineStr">
        <is>
          <t>Initiate</t>
        </is>
      </c>
      <c r="C25" s="31" t="inlineStr">
        <is>
          <t>S0</t>
        </is>
      </c>
      <c r="D25" s="51" t="n">
        <v>24</v>
      </c>
      <c r="E25" s="51" t="n">
        <v>18</v>
      </c>
      <c r="F25" s="51" t="n">
        <v>16</v>
      </c>
      <c r="G25" s="51" t="n">
        <v>6</v>
      </c>
      <c r="H25" s="51" t="n">
        <v>64</v>
      </c>
    </row>
    <row r="26" ht="22" customHeight="1">
      <c r="B26" s="23" t="inlineStr">
        <is>
          <t>Discover</t>
        </is>
      </c>
      <c r="C26" s="34" t="inlineStr">
        <is>
          <t>S1</t>
        </is>
      </c>
      <c r="D26" s="52" t="n">
        <v>30</v>
      </c>
      <c r="E26" s="52" t="n">
        <v>60</v>
      </c>
      <c r="F26" s="52" t="n">
        <v>20</v>
      </c>
      <c r="G26" s="52" t="n">
        <v>8</v>
      </c>
      <c r="H26" s="52" t="n">
        <v>118</v>
      </c>
    </row>
    <row r="27" ht="22" customHeight="1">
      <c r="B27" s="19" t="inlineStr">
        <is>
          <t>Design</t>
        </is>
      </c>
      <c r="C27" s="31" t="inlineStr">
        <is>
          <t>S2</t>
        </is>
      </c>
      <c r="D27" s="51" t="n">
        <v>40</v>
      </c>
      <c r="E27" s="51" t="n">
        <v>35</v>
      </c>
      <c r="F27" s="51" t="n">
        <v>22</v>
      </c>
      <c r="G27" s="51" t="n">
        <v>6</v>
      </c>
      <c r="H27" s="51" t="n">
        <v>103</v>
      </c>
    </row>
    <row r="28" ht="22" customHeight="1">
      <c r="B28" s="23" t="inlineStr">
        <is>
          <t>Build</t>
        </is>
      </c>
      <c r="C28" s="34" t="inlineStr">
        <is>
          <t>S3–S5</t>
        </is>
      </c>
      <c r="D28" s="52" t="n">
        <v>220</v>
      </c>
      <c r="E28" s="52" t="n">
        <v>28</v>
      </c>
      <c r="F28" s="52" t="n">
        <v>28</v>
      </c>
      <c r="G28" s="52" t="n">
        <v>20</v>
      </c>
      <c r="H28" s="52" t="n">
        <v>296</v>
      </c>
    </row>
    <row r="29" ht="22" customHeight="1">
      <c r="B29" s="19" t="inlineStr">
        <is>
          <t>Validate</t>
        </is>
      </c>
      <c r="C29" s="31" t="inlineStr">
        <is>
          <t>S6</t>
        </is>
      </c>
      <c r="D29" s="51" t="n">
        <v>45</v>
      </c>
      <c r="E29" s="51" t="n">
        <v>10</v>
      </c>
      <c r="F29" s="51" t="n">
        <v>14</v>
      </c>
      <c r="G29" s="51" t="n">
        <v>35</v>
      </c>
      <c r="H29" s="51" t="n">
        <v>104</v>
      </c>
    </row>
    <row r="30" ht="22" customHeight="1">
      <c r="B30" s="23" t="inlineStr">
        <is>
          <t>Deploy</t>
        </is>
      </c>
      <c r="C30" s="34" t="inlineStr">
        <is>
          <t>S7</t>
        </is>
      </c>
      <c r="D30" s="52" t="n">
        <v>30</v>
      </c>
      <c r="E30" s="52" t="n">
        <v>12</v>
      </c>
      <c r="F30" s="52" t="n">
        <v>18</v>
      </c>
      <c r="G30" s="52" t="n">
        <v>42</v>
      </c>
      <c r="H30" s="52" t="n">
        <v>102</v>
      </c>
    </row>
    <row r="31" ht="26" customHeight="1">
      <c r="B31" s="27" t="inlineStr">
        <is>
          <t>TOTAL</t>
        </is>
      </c>
      <c r="C31" s="27" t="inlineStr">
        <is>
          <t>S0–S7</t>
        </is>
      </c>
      <c r="D31" s="53">
        <f>SUM(D25:D30)</f>
        <v/>
      </c>
      <c r="E31" s="53">
        <f>SUM(E25:E30)</f>
        <v/>
      </c>
      <c r="F31" s="53">
        <f>SUM(F25:F30)</f>
        <v/>
      </c>
      <c r="G31" s="53">
        <f>SUM(G25:G30)</f>
        <v/>
      </c>
      <c r="H31" s="53">
        <f>SUM(H25:H30)</f>
        <v/>
      </c>
    </row>
  </sheetData>
  <mergeCells count="3">
    <mergeCell ref="B3:H3"/>
    <mergeCell ref="B2:H2"/>
    <mergeCell ref="B23:H23"/>
  </mergeCells>
  <conditionalFormatting sqref="E6:E19">
    <cfRule type="dataBar" priority="1">
      <dataBar showValue="1">
        <cfvo type="min"/>
        <cfvo type="max"/>
        <color rgb="001B2A4A"/>
      </dataBar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21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12" customWidth="1" min="3" max="3"/>
    <col width="14" customWidth="1" min="4" max="4"/>
    <col width="14" customWidth="1" min="5" max="5"/>
    <col width="12" customWidth="1" min="6" max="6"/>
    <col width="48" customWidth="1" min="7" max="7"/>
  </cols>
  <sheetData>
    <row r="1" ht="15" customHeight="1"/>
    <row r="2" ht="32" customHeight="1">
      <c r="B2" s="9" t="inlineStr">
        <is>
          <t>Cost by Category  —  Capex / Opex Split</t>
        </is>
      </c>
    </row>
    <row r="3" ht="8" customHeight="1">
      <c r="B3" s="10" t="inlineStr">
        <is>
          <t>Base budget allocated across 8 cost categories  |  USD  |  % share computed against base budget</t>
        </is>
      </c>
    </row>
    <row r="5" ht="28" customHeight="1">
      <c r="B5" s="17" t="inlineStr">
        <is>
          <t>Category</t>
        </is>
      </c>
      <c r="C5" s="17" t="inlineStr">
        <is>
          <t>Type</t>
        </is>
      </c>
      <c r="D5" s="17" t="inlineStr">
        <is>
          <t>USD</t>
        </is>
      </c>
      <c r="E5" s="17" t="inlineStr">
        <is>
          <t>% of Base</t>
        </is>
      </c>
      <c r="F5" s="17" t="inlineStr">
        <is>
          <t>Capex/Opex</t>
        </is>
      </c>
      <c r="G5" s="17" t="inlineStr">
        <is>
          <t>Description</t>
        </is>
      </c>
    </row>
    <row r="6" ht="26" customHeight="1">
      <c r="B6" s="19" t="inlineStr">
        <is>
          <t>Personnel — Engineering</t>
        </is>
      </c>
      <c r="C6" s="31" t="inlineStr">
        <is>
          <t>Capex</t>
        </is>
      </c>
      <c r="D6" s="32" t="n">
        <v>306592</v>
      </c>
      <c r="E6" s="33" t="n">
        <v>0.52</v>
      </c>
      <c r="F6" s="31" t="inlineStr">
        <is>
          <t>Capex</t>
        </is>
      </c>
      <c r="G6" s="22" t="inlineStr">
        <is>
          <t>Full-stack, backend, AI/LLM, DevSecOps engineering staff</t>
        </is>
      </c>
    </row>
    <row r="7" ht="26" customHeight="1">
      <c r="B7" s="23" t="inlineStr">
        <is>
          <t>Personnel — Design &amp; BA</t>
        </is>
      </c>
      <c r="C7" s="34" t="inlineStr">
        <is>
          <t>Capex</t>
        </is>
      </c>
      <c r="D7" s="35" t="n">
        <v>82544</v>
      </c>
      <c r="E7" s="36" t="n">
        <v>0.14</v>
      </c>
      <c r="F7" s="34" t="inlineStr">
        <is>
          <t>Capex</t>
        </is>
      </c>
      <c r="G7" s="26" t="inlineStr">
        <is>
          <t>UX design, business analysis, field research</t>
        </is>
      </c>
    </row>
    <row r="8" ht="26" customHeight="1">
      <c r="B8" s="19" t="inlineStr">
        <is>
          <t>Personnel — PM &amp; Governance</t>
        </is>
      </c>
      <c r="C8" s="31" t="inlineStr">
        <is>
          <t>Capex</t>
        </is>
      </c>
      <c r="D8" s="32" t="n">
        <v>64856</v>
      </c>
      <c r="E8" s="33" t="n">
        <v>0.11</v>
      </c>
      <c r="F8" s="31" t="inlineStr">
        <is>
          <t>Capex</t>
        </is>
      </c>
      <c r="G8" s="22" t="inlineStr">
        <is>
          <t>Delivery lead, architecture, security/compliance review</t>
        </is>
      </c>
    </row>
    <row r="9" ht="26" customHeight="1">
      <c r="B9" s="23" t="inlineStr">
        <is>
          <t>Personnel — QA &amp; Training</t>
        </is>
      </c>
      <c r="C9" s="34" t="inlineStr">
        <is>
          <t>Capex</t>
        </is>
      </c>
      <c r="D9" s="35" t="n">
        <v>58960</v>
      </c>
      <c r="E9" s="36" t="n">
        <v>0.1</v>
      </c>
      <c r="F9" s="34" t="inlineStr">
        <is>
          <t>Capex</t>
        </is>
      </c>
      <c r="G9" s="26" t="inlineStr">
        <is>
          <t>QA/test lead, change management, technical writing</t>
        </is>
      </c>
    </row>
    <row r="10" ht="26" customHeight="1">
      <c r="B10" s="19" t="inlineStr">
        <is>
          <t>Cloud Infrastructure</t>
        </is>
      </c>
      <c r="C10" s="31" t="inlineStr">
        <is>
          <t>Opex</t>
        </is>
      </c>
      <c r="D10" s="32" t="n">
        <v>29480</v>
      </c>
      <c r="E10" s="33" t="n">
        <v>0.05</v>
      </c>
      <c r="F10" s="31" t="inlineStr">
        <is>
          <t>Opex</t>
        </is>
      </c>
      <c r="G10" s="22" t="inlineStr">
        <is>
          <t>Neon PostgreSQL, Vercel hosting, object storage, egress</t>
        </is>
      </c>
    </row>
    <row r="11" ht="26" customHeight="1">
      <c r="B11" s="23" t="inlineStr">
        <is>
          <t>Third-party APIs &amp; Licenses</t>
        </is>
      </c>
      <c r="C11" s="34" t="inlineStr">
        <is>
          <t>Opex</t>
        </is>
      </c>
      <c r="D11" s="35" t="n">
        <v>23584</v>
      </c>
      <c r="E11" s="36" t="n">
        <v>0.04</v>
      </c>
      <c r="F11" s="34" t="inlineStr">
        <is>
          <t>Opex</t>
        </is>
      </c>
      <c r="G11" s="26" t="inlineStr">
        <is>
          <t>OpenAI/Anthropic LLM, Salesforce API, Twilio, maps</t>
        </is>
      </c>
    </row>
    <row r="12" ht="26" customHeight="1">
      <c r="B12" s="19" t="inlineStr">
        <is>
          <t>Tooling &amp; Dev Productivity</t>
        </is>
      </c>
      <c r="C12" s="31" t="inlineStr">
        <is>
          <t>Opex</t>
        </is>
      </c>
      <c r="D12" s="32" t="n">
        <v>11792</v>
      </c>
      <c r="E12" s="33" t="n">
        <v>0.02</v>
      </c>
      <c r="F12" s="31" t="inlineStr">
        <is>
          <t>Opex</t>
        </is>
      </c>
      <c r="G12" s="22" t="inlineStr">
        <is>
          <t>GitHub, Linear, Sentry, Figma, Notion, Datadog</t>
        </is>
      </c>
    </row>
    <row r="13" ht="26" customHeight="1">
      <c r="B13" s="23" t="inlineStr">
        <is>
          <t>Field Travel &amp; Stakeholder Ops</t>
        </is>
      </c>
      <c r="C13" s="34" t="inlineStr">
        <is>
          <t>Opex</t>
        </is>
      </c>
      <c r="D13" s="35" t="n">
        <v>11792</v>
      </c>
      <c r="E13" s="36" t="n">
        <v>0.02</v>
      </c>
      <c r="F13" s="34" t="inlineStr">
        <is>
          <t>Opex</t>
        </is>
      </c>
      <c r="G13" s="26" t="inlineStr">
        <is>
          <t>Country visits, stakeholder workshops, training delivery</t>
        </is>
      </c>
    </row>
    <row r="14" ht="28" customHeight="1">
      <c r="B14" s="27" t="inlineStr">
        <is>
          <t>TOTAL BASE BUDGET</t>
        </is>
      </c>
      <c r="C14" s="27" t="n"/>
      <c r="D14" s="39">
        <f>SUM(D6:D13)</f>
        <v/>
      </c>
      <c r="E14" s="40">
        <f>SUM(E6:E13)</f>
        <v/>
      </c>
      <c r="F14" s="27" t="n"/>
      <c r="G14" s="27" t="n"/>
    </row>
    <row r="17" ht="24" customHeight="1">
      <c r="B17" s="6" t="inlineStr">
        <is>
          <t>CAPEX vs OPEX SUMMARY</t>
        </is>
      </c>
    </row>
    <row r="18" ht="28" customHeight="1">
      <c r="B18" s="17" t="inlineStr">
        <is>
          <t>Type</t>
        </is>
      </c>
      <c r="C18" s="17" t="inlineStr">
        <is>
          <t>Categories</t>
        </is>
      </c>
      <c r="D18" s="17" t="inlineStr">
        <is>
          <t>USD</t>
        </is>
      </c>
      <c r="E18" s="17" t="inlineStr">
        <is>
          <t>% of Base</t>
        </is>
      </c>
      <c r="F18" s="17" t="inlineStr"/>
      <c r="G18" s="17" t="inlineStr">
        <is>
          <t>Notes</t>
        </is>
      </c>
    </row>
    <row r="19" ht="24" customHeight="1">
      <c r="B19" s="31" t="inlineStr">
        <is>
          <t>Capex</t>
        </is>
      </c>
      <c r="C19" s="19" t="inlineStr">
        <is>
          <t>Personnel &amp; engineering</t>
        </is>
      </c>
      <c r="D19" s="32" t="n">
        <v>512952</v>
      </c>
      <c r="E19" s="33" t="n">
        <v>0.87</v>
      </c>
      <c r="F19" s="19" t="n"/>
      <c r="G19" s="22" t="inlineStr">
        <is>
          <t>Capitalised build cost; amortised over platform life</t>
        </is>
      </c>
    </row>
    <row r="20" ht="24" customHeight="1">
      <c r="B20" s="34" t="inlineStr">
        <is>
          <t>Opex</t>
        </is>
      </c>
      <c r="C20" s="23" t="inlineStr">
        <is>
          <t>Cloud, APIs, tools, travel</t>
        </is>
      </c>
      <c r="D20" s="35" t="n">
        <v>76648</v>
      </c>
      <c r="E20" s="36" t="n">
        <v>0.13</v>
      </c>
      <c r="F20" s="23" t="n"/>
      <c r="G20" s="26" t="inlineStr">
        <is>
          <t>Recurring run-cost; transitions to steady-state post-launch</t>
        </is>
      </c>
    </row>
    <row r="21" ht="26" customHeight="1">
      <c r="B21" s="27" t="inlineStr">
        <is>
          <t>TOTAL</t>
        </is>
      </c>
      <c r="C21" s="27" t="n"/>
      <c r="D21" s="39">
        <f>SUM(D19:D20)</f>
        <v/>
      </c>
      <c r="E21" s="40">
        <f>SUM(E19:E20)</f>
        <v/>
      </c>
      <c r="F21" s="27" t="n"/>
      <c r="G21" s="27" t="n"/>
    </row>
  </sheetData>
  <mergeCells count="3">
    <mergeCell ref="B3:G3"/>
    <mergeCell ref="B2:G2"/>
    <mergeCell ref="B17:G17"/>
  </mergeCells>
  <conditionalFormatting sqref="D6:D13">
    <cfRule type="dataBar" priority="1">
      <dataBar showValue="1">
        <cfvo type="min"/>
        <cfvo type="max"/>
        <color rgb="001B2A4A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AR17"/>
  <sheetViews>
    <sheetView showGridLines="0" zoomScale="8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8" customWidth="1" min="2" max="2"/>
    <col width="32" customWidth="1" min="3" max="3"/>
    <col width="12" customWidth="1" min="4" max="4"/>
    <col width="12" customWidth="1" min="5" max="5"/>
    <col width="12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</cols>
  <sheetData>
    <row r="1" ht="15" customHeight="1"/>
    <row r="2" ht="32" customHeight="1">
      <c r="B2" s="9" t="inlineStr">
        <is>
          <t>Development Timeline  —  32-Week Sprint Calendar (2026)</t>
        </is>
      </c>
    </row>
    <row r="3" ht="8" customHeight="1">
      <c r="B3" s="10" t="inlineStr">
        <is>
          <t>Engagement window: 12 Jan 2026 → 24 Jul 2026  |  8 sprints  |  Bars show active sprint windows  |  M# = milestone</t>
        </is>
      </c>
    </row>
    <row r="4" ht="18" customHeight="1">
      <c r="G4" s="54" t="inlineStr">
        <is>
          <t>JAN</t>
        </is>
      </c>
      <c r="I4" s="54" t="inlineStr">
        <is>
          <t>FEB</t>
        </is>
      </c>
      <c r="M4" s="54" t="inlineStr">
        <is>
          <t>MAR</t>
        </is>
      </c>
      <c r="Q4" s="54" t="inlineStr">
        <is>
          <t>APR</t>
        </is>
      </c>
      <c r="V4" s="54" t="inlineStr">
        <is>
          <t>MAY</t>
        </is>
      </c>
      <c r="AA4" s="54" t="inlineStr">
        <is>
          <t>JUN</t>
        </is>
      </c>
      <c r="AF4" s="54" t="inlineStr">
        <is>
          <t>JUL</t>
        </is>
      </c>
    </row>
    <row r="5" ht="24" customHeight="1">
      <c r="B5" s="17" t="inlineStr">
        <is>
          <t>Sprint</t>
        </is>
      </c>
      <c r="C5" s="17" t="inlineStr">
        <is>
          <t>Name</t>
        </is>
      </c>
      <c r="D5" s="17" t="inlineStr">
        <is>
          <t>Phase</t>
        </is>
      </c>
      <c r="E5" s="17" t="inlineStr">
        <is>
          <t>Start</t>
        </is>
      </c>
      <c r="F5" s="17" t="inlineStr">
        <is>
          <t>End</t>
        </is>
      </c>
      <c r="G5" s="55" t="inlineStr">
        <is>
          <t>W1</t>
        </is>
      </c>
      <c r="H5" s="55" t="inlineStr">
        <is>
          <t>W2</t>
        </is>
      </c>
      <c r="I5" s="55" t="inlineStr">
        <is>
          <t>W3</t>
        </is>
      </c>
      <c r="J5" s="55" t="inlineStr">
        <is>
          <t>W4</t>
        </is>
      </c>
      <c r="K5" s="55" t="inlineStr">
        <is>
          <t>W5</t>
        </is>
      </c>
      <c r="L5" s="55" t="inlineStr">
        <is>
          <t>W6</t>
        </is>
      </c>
      <c r="M5" s="55" t="inlineStr">
        <is>
          <t>W7</t>
        </is>
      </c>
      <c r="N5" s="55" t="inlineStr">
        <is>
          <t>W8</t>
        </is>
      </c>
      <c r="O5" s="55" t="inlineStr">
        <is>
          <t>W9</t>
        </is>
      </c>
      <c r="P5" s="55" t="inlineStr">
        <is>
          <t>W10</t>
        </is>
      </c>
      <c r="Q5" s="55" t="inlineStr">
        <is>
          <t>W11</t>
        </is>
      </c>
      <c r="R5" s="55" t="inlineStr">
        <is>
          <t>W12</t>
        </is>
      </c>
      <c r="S5" s="55" t="inlineStr">
        <is>
          <t>W13</t>
        </is>
      </c>
      <c r="T5" s="55" t="inlineStr">
        <is>
          <t>W14</t>
        </is>
      </c>
      <c r="U5" s="55" t="inlineStr">
        <is>
          <t>W15</t>
        </is>
      </c>
      <c r="V5" s="55" t="inlineStr">
        <is>
          <t>W16</t>
        </is>
      </c>
      <c r="W5" s="55" t="inlineStr">
        <is>
          <t>W17</t>
        </is>
      </c>
      <c r="X5" s="55" t="inlineStr">
        <is>
          <t>W18</t>
        </is>
      </c>
      <c r="Y5" s="55" t="inlineStr">
        <is>
          <t>W19</t>
        </is>
      </c>
      <c r="Z5" s="55" t="inlineStr">
        <is>
          <t>W20</t>
        </is>
      </c>
      <c r="AA5" s="55" t="inlineStr">
        <is>
          <t>W21</t>
        </is>
      </c>
      <c r="AB5" s="55" t="inlineStr">
        <is>
          <t>W22</t>
        </is>
      </c>
      <c r="AC5" s="55" t="inlineStr">
        <is>
          <t>W23</t>
        </is>
      </c>
      <c r="AD5" s="55" t="inlineStr">
        <is>
          <t>W24</t>
        </is>
      </c>
      <c r="AE5" s="55" t="inlineStr">
        <is>
          <t>W25</t>
        </is>
      </c>
      <c r="AF5" s="55" t="inlineStr">
        <is>
          <t>W26</t>
        </is>
      </c>
      <c r="AG5" s="55" t="inlineStr">
        <is>
          <t>W27</t>
        </is>
      </c>
      <c r="AH5" s="55" t="inlineStr">
        <is>
          <t>W28</t>
        </is>
      </c>
      <c r="AI5" s="55" t="inlineStr">
        <is>
          <t>W29</t>
        </is>
      </c>
      <c r="AJ5" s="55" t="inlineStr">
        <is>
          <t>W30</t>
        </is>
      </c>
      <c r="AK5" s="55" t="inlineStr">
        <is>
          <t>W31</t>
        </is>
      </c>
      <c r="AL5" s="55" t="inlineStr">
        <is>
          <t>W32</t>
        </is>
      </c>
    </row>
    <row r="6" ht="22" customHeight="1">
      <c r="B6" s="56" t="inlineStr">
        <is>
          <t>S0</t>
        </is>
      </c>
      <c r="C6" s="57" t="inlineStr">
        <is>
          <t>Mobilization &amp; Foundations</t>
        </is>
      </c>
      <c r="D6" s="56" t="inlineStr">
        <is>
          <t>Initiate</t>
        </is>
      </c>
      <c r="E6" s="56" t="inlineStr">
        <is>
          <t>2026-01-12</t>
        </is>
      </c>
      <c r="F6" s="56" t="inlineStr">
        <is>
          <t>2026-01-23</t>
        </is>
      </c>
      <c r="G6" s="58" t="n"/>
      <c r="H6" s="58" t="n"/>
      <c r="I6" s="59" t="n"/>
      <c r="J6" s="59" t="n"/>
      <c r="K6" s="59" t="n"/>
      <c r="L6" s="59" t="n"/>
      <c r="M6" s="59" t="n"/>
      <c r="N6" s="59" t="n"/>
      <c r="O6" s="59" t="n"/>
      <c r="P6" s="59" t="n"/>
      <c r="Q6" s="59" t="n"/>
      <c r="R6" s="59" t="n"/>
      <c r="S6" s="59" t="n"/>
      <c r="T6" s="59" t="n"/>
      <c r="U6" s="59" t="n"/>
      <c r="V6" s="59" t="n"/>
      <c r="W6" s="59" t="n"/>
      <c r="X6" s="59" t="n"/>
      <c r="Y6" s="59" t="n"/>
      <c r="Z6" s="59" t="n"/>
      <c r="AA6" s="59" t="n"/>
      <c r="AB6" s="59" t="n"/>
      <c r="AC6" s="59" t="n"/>
      <c r="AD6" s="59" t="n"/>
      <c r="AE6" s="59" t="n"/>
      <c r="AF6" s="59" t="n"/>
      <c r="AG6" s="59" t="n"/>
      <c r="AH6" s="59" t="n"/>
      <c r="AI6" s="59" t="n"/>
      <c r="AJ6" s="59" t="n"/>
      <c r="AK6" s="59" t="n"/>
      <c r="AL6" s="59" t="n"/>
    </row>
    <row r="7" ht="22" customHeight="1">
      <c r="B7" s="60" t="inlineStr">
        <is>
          <t>S1</t>
        </is>
      </c>
      <c r="C7" s="61" t="inlineStr">
        <is>
          <t>Discovery &amp; Requirements</t>
        </is>
      </c>
      <c r="D7" s="60" t="inlineStr">
        <is>
          <t>Discover</t>
        </is>
      </c>
      <c r="E7" s="60" t="inlineStr">
        <is>
          <t>2026-01-26</t>
        </is>
      </c>
      <c r="F7" s="60" t="inlineStr">
        <is>
          <t>2026-02-20</t>
        </is>
      </c>
      <c r="G7" s="62" t="n"/>
      <c r="H7" s="62" t="n"/>
      <c r="I7" s="63" t="n"/>
      <c r="J7" s="63" t="n"/>
      <c r="K7" s="63" t="n"/>
      <c r="L7" s="63" t="n"/>
      <c r="M7" s="62" t="n"/>
      <c r="N7" s="62" t="n"/>
      <c r="O7" s="62" t="n"/>
      <c r="P7" s="62" t="n"/>
      <c r="Q7" s="62" t="n"/>
      <c r="R7" s="62" t="n"/>
      <c r="S7" s="62" t="n"/>
      <c r="T7" s="62" t="n"/>
      <c r="U7" s="62" t="n"/>
      <c r="V7" s="62" t="n"/>
      <c r="W7" s="62" t="n"/>
      <c r="X7" s="62" t="n"/>
      <c r="Y7" s="62" t="n"/>
      <c r="Z7" s="62" t="n"/>
      <c r="AA7" s="62" t="n"/>
      <c r="AB7" s="62" t="n"/>
      <c r="AC7" s="62" t="n"/>
      <c r="AD7" s="62" t="n"/>
      <c r="AE7" s="62" t="n"/>
      <c r="AF7" s="62" t="n"/>
      <c r="AG7" s="62" t="n"/>
      <c r="AH7" s="62" t="n"/>
      <c r="AI7" s="62" t="n"/>
      <c r="AJ7" s="62" t="n"/>
      <c r="AK7" s="62" t="n"/>
      <c r="AL7" s="62" t="n"/>
    </row>
    <row r="8" ht="22" customHeight="1">
      <c r="B8" s="56" t="inlineStr">
        <is>
          <t>S2</t>
        </is>
      </c>
      <c r="C8" s="57" t="inlineStr">
        <is>
          <t>Architecture &amp; Design Sign-off</t>
        </is>
      </c>
      <c r="D8" s="56" t="inlineStr">
        <is>
          <t>Design</t>
        </is>
      </c>
      <c r="E8" s="56" t="inlineStr">
        <is>
          <t>2026-02-23</t>
        </is>
      </c>
      <c r="F8" s="56" t="inlineStr">
        <is>
          <t>2026-03-20</t>
        </is>
      </c>
      <c r="G8" s="59" t="n"/>
      <c r="H8" s="59" t="n"/>
      <c r="I8" s="59" t="n"/>
      <c r="J8" s="59" t="n"/>
      <c r="K8" s="59" t="n"/>
      <c r="L8" s="59" t="n"/>
      <c r="M8" s="3" t="n"/>
      <c r="N8" s="3" t="n"/>
      <c r="O8" s="3" t="n"/>
      <c r="P8" s="3" t="n"/>
      <c r="Q8" s="59" t="n"/>
      <c r="R8" s="59" t="n"/>
      <c r="S8" s="59" t="n"/>
      <c r="T8" s="59" t="n"/>
      <c r="U8" s="59" t="n"/>
      <c r="V8" s="59" t="n"/>
      <c r="W8" s="59" t="n"/>
      <c r="X8" s="59" t="n"/>
      <c r="Y8" s="59" t="n"/>
      <c r="Z8" s="59" t="n"/>
      <c r="AA8" s="59" t="n"/>
      <c r="AB8" s="59" t="n"/>
      <c r="AC8" s="59" t="n"/>
      <c r="AD8" s="59" t="n"/>
      <c r="AE8" s="59" t="n"/>
      <c r="AF8" s="59" t="n"/>
      <c r="AG8" s="59" t="n"/>
      <c r="AH8" s="59" t="n"/>
      <c r="AI8" s="59" t="n"/>
      <c r="AJ8" s="59" t="n"/>
      <c r="AK8" s="59" t="n"/>
      <c r="AL8" s="59" t="n"/>
    </row>
    <row r="9" ht="22" customHeight="1">
      <c r="B9" s="60" t="inlineStr">
        <is>
          <t>S3</t>
        </is>
      </c>
      <c r="C9" s="61" t="inlineStr">
        <is>
          <t>Foundation Build &amp; DevSecOps</t>
        </is>
      </c>
      <c r="D9" s="60" t="inlineStr">
        <is>
          <t>Build</t>
        </is>
      </c>
      <c r="E9" s="60" t="inlineStr">
        <is>
          <t>2026-03-23</t>
        </is>
      </c>
      <c r="F9" s="60" t="inlineStr">
        <is>
          <t>2026-04-10</t>
        </is>
      </c>
      <c r="G9" s="62" t="n"/>
      <c r="H9" s="62" t="n"/>
      <c r="I9" s="62" t="n"/>
      <c r="J9" s="62" t="n"/>
      <c r="K9" s="62" t="n"/>
      <c r="L9" s="62" t="n"/>
      <c r="M9" s="62" t="n"/>
      <c r="N9" s="62" t="n"/>
      <c r="O9" s="62" t="n"/>
      <c r="P9" s="62" t="n"/>
      <c r="Q9" s="64" t="n"/>
      <c r="R9" s="64" t="n"/>
      <c r="S9" s="64" t="n"/>
      <c r="T9" s="62" t="n"/>
      <c r="U9" s="62" t="n"/>
      <c r="V9" s="62" t="n"/>
      <c r="W9" s="62" t="n"/>
      <c r="X9" s="62" t="n"/>
      <c r="Y9" s="62" t="n"/>
      <c r="Z9" s="62" t="n"/>
      <c r="AA9" s="62" t="n"/>
      <c r="AB9" s="62" t="n"/>
      <c r="AC9" s="62" t="n"/>
      <c r="AD9" s="62" t="n"/>
      <c r="AE9" s="62" t="n"/>
      <c r="AF9" s="62" t="n"/>
      <c r="AG9" s="62" t="n"/>
      <c r="AH9" s="62" t="n"/>
      <c r="AI9" s="62" t="n"/>
      <c r="AJ9" s="62" t="n"/>
      <c r="AK9" s="62" t="n"/>
      <c r="AL9" s="62" t="n"/>
    </row>
    <row r="10" ht="22" customHeight="1">
      <c r="B10" s="56" t="inlineStr">
        <is>
          <t>S4</t>
        </is>
      </c>
      <c r="C10" s="57" t="inlineStr">
        <is>
          <t>Capture &amp; AI Draft Build</t>
        </is>
      </c>
      <c r="D10" s="56" t="inlineStr">
        <is>
          <t>Build</t>
        </is>
      </c>
      <c r="E10" s="56" t="inlineStr">
        <is>
          <t>2026-04-13</t>
        </is>
      </c>
      <c r="F10" s="56" t="inlineStr">
        <is>
          <t>2026-05-08</t>
        </is>
      </c>
      <c r="G10" s="59" t="n"/>
      <c r="H10" s="59" t="n"/>
      <c r="I10" s="59" t="n"/>
      <c r="J10" s="59" t="n"/>
      <c r="K10" s="59" t="n"/>
      <c r="L10" s="59" t="n"/>
      <c r="M10" s="59" t="n"/>
      <c r="N10" s="59" t="n"/>
      <c r="O10" s="59" t="n"/>
      <c r="P10" s="59" t="n"/>
      <c r="Q10" s="59" t="n"/>
      <c r="R10" s="59" t="n"/>
      <c r="S10" s="59" t="n"/>
      <c r="T10" s="64" t="n"/>
      <c r="U10" s="64" t="n"/>
      <c r="V10" s="64" t="n"/>
      <c r="W10" s="64" t="n"/>
      <c r="X10" s="59" t="n"/>
      <c r="Y10" s="59" t="n"/>
      <c r="Z10" s="59" t="n"/>
      <c r="AA10" s="59" t="n"/>
      <c r="AB10" s="59" t="n"/>
      <c r="AC10" s="59" t="n"/>
      <c r="AD10" s="59" t="n"/>
      <c r="AE10" s="59" t="n"/>
      <c r="AF10" s="59" t="n"/>
      <c r="AG10" s="59" t="n"/>
      <c r="AH10" s="59" t="n"/>
      <c r="AI10" s="59" t="n"/>
      <c r="AJ10" s="59" t="n"/>
      <c r="AK10" s="59" t="n"/>
      <c r="AL10" s="59" t="n"/>
    </row>
    <row r="11" ht="22" customHeight="1">
      <c r="B11" s="60" t="inlineStr">
        <is>
          <t>S5</t>
        </is>
      </c>
      <c r="C11" s="61" t="inlineStr">
        <is>
          <t>Review, Sync &amp; Governance Build</t>
        </is>
      </c>
      <c r="D11" s="60" t="inlineStr">
        <is>
          <t>Build</t>
        </is>
      </c>
      <c r="E11" s="60" t="inlineStr">
        <is>
          <t>2026-05-11</t>
        </is>
      </c>
      <c r="F11" s="60" t="inlineStr">
        <is>
          <t>2026-05-29</t>
        </is>
      </c>
      <c r="G11" s="62" t="n"/>
      <c r="H11" s="62" t="n"/>
      <c r="I11" s="62" t="n"/>
      <c r="J11" s="62" t="n"/>
      <c r="K11" s="62" t="n"/>
      <c r="L11" s="62" t="n"/>
      <c r="M11" s="62" t="n"/>
      <c r="N11" s="62" t="n"/>
      <c r="O11" s="62" t="n"/>
      <c r="P11" s="62" t="n"/>
      <c r="Q11" s="62" t="n"/>
      <c r="R11" s="62" t="n"/>
      <c r="S11" s="62" t="n"/>
      <c r="T11" s="62" t="n"/>
      <c r="U11" s="62" t="n"/>
      <c r="V11" s="62" t="n"/>
      <c r="W11" s="62" t="n"/>
      <c r="X11" s="64" t="n"/>
      <c r="Y11" s="64" t="n"/>
      <c r="Z11" s="64" t="n"/>
      <c r="AA11" s="62" t="n"/>
      <c r="AB11" s="62" t="n"/>
      <c r="AC11" s="62" t="n"/>
      <c r="AD11" s="62" t="n"/>
      <c r="AE11" s="62" t="n"/>
      <c r="AF11" s="62" t="n"/>
      <c r="AG11" s="62" t="n"/>
      <c r="AH11" s="62" t="n"/>
      <c r="AI11" s="62" t="n"/>
      <c r="AJ11" s="62" t="n"/>
      <c r="AK11" s="62" t="n"/>
      <c r="AL11" s="62" t="n"/>
    </row>
    <row r="12" ht="22" customHeight="1">
      <c r="B12" s="56" t="inlineStr">
        <is>
          <t>S6</t>
        </is>
      </c>
      <c r="C12" s="57" t="inlineStr">
        <is>
          <t>UAT, Pilot Prep &amp; Integration Test</t>
        </is>
      </c>
      <c r="D12" s="56" t="inlineStr">
        <is>
          <t>Validate</t>
        </is>
      </c>
      <c r="E12" s="56" t="inlineStr">
        <is>
          <t>2026-06-01</t>
        </is>
      </c>
      <c r="F12" s="56" t="inlineStr">
        <is>
          <t>2026-06-26</t>
        </is>
      </c>
      <c r="G12" s="59" t="n"/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8" t="n"/>
      <c r="AB12" s="58" t="n"/>
      <c r="AC12" s="58" t="n"/>
      <c r="AD12" s="58" t="n"/>
      <c r="AE12" s="59" t="n"/>
      <c r="AF12" s="59" t="n"/>
      <c r="AG12" s="59" t="n"/>
      <c r="AH12" s="59" t="n"/>
      <c r="AI12" s="59" t="n"/>
      <c r="AJ12" s="59" t="n"/>
      <c r="AK12" s="59" t="n"/>
      <c r="AL12" s="59" t="n"/>
    </row>
    <row r="13" ht="22" customHeight="1">
      <c r="B13" s="60" t="inlineStr">
        <is>
          <t>S7</t>
        </is>
      </c>
      <c r="C13" s="61" t="inlineStr">
        <is>
          <t>Rollout Wave 1 &amp; Hypercare</t>
        </is>
      </c>
      <c r="D13" s="60" t="inlineStr">
        <is>
          <t>Deploy</t>
        </is>
      </c>
      <c r="E13" s="60" t="inlineStr">
        <is>
          <t>2026-06-29</t>
        </is>
      </c>
      <c r="F13" s="60" t="inlineStr">
        <is>
          <t>2026-07-24</t>
        </is>
      </c>
      <c r="G13" s="62" t="n"/>
      <c r="H13" s="62" t="n"/>
      <c r="I13" s="62" t="n"/>
      <c r="J13" s="62" t="n"/>
      <c r="K13" s="62" t="n"/>
      <c r="L13" s="62" t="n"/>
      <c r="M13" s="62" t="n"/>
      <c r="N13" s="62" t="n"/>
      <c r="O13" s="62" t="n"/>
      <c r="P13" s="62" t="n"/>
      <c r="Q13" s="62" t="n"/>
      <c r="R13" s="62" t="n"/>
      <c r="S13" s="62" t="n"/>
      <c r="T13" s="62" t="n"/>
      <c r="U13" s="62" t="n"/>
      <c r="V13" s="62" t="n"/>
      <c r="W13" s="62" t="n"/>
      <c r="X13" s="62" t="n"/>
      <c r="Y13" s="62" t="n"/>
      <c r="Z13" s="62" t="n"/>
      <c r="AA13" s="62" t="n"/>
      <c r="AB13" s="62" t="n"/>
      <c r="AC13" s="62" t="n"/>
      <c r="AD13" s="62" t="n"/>
      <c r="AE13" s="65" t="n"/>
      <c r="AF13" s="65" t="n"/>
      <c r="AG13" s="65" t="n"/>
      <c r="AH13" s="65" t="n"/>
      <c r="AI13" s="62" t="n"/>
      <c r="AJ13" s="62" t="n"/>
      <c r="AK13" s="62" t="n"/>
      <c r="AL13" s="62" t="n"/>
    </row>
    <row r="15" ht="22" customHeight="1">
      <c r="B15" s="66" t="inlineStr">
        <is>
          <t>MILESTONES</t>
        </is>
      </c>
      <c r="C15" s="10" t="inlineStr">
        <is>
          <t>M1–M8  (acceptance gates)</t>
        </is>
      </c>
      <c r="D15" s="59" t="n"/>
      <c r="E15" s="59" t="n"/>
      <c r="F15" s="59" t="n"/>
      <c r="G15" s="59" t="n"/>
      <c r="H15" s="67" t="inlineStr">
        <is>
          <t>M1</t>
        </is>
      </c>
      <c r="I15" s="59" t="n"/>
      <c r="J15" s="59" t="n"/>
      <c r="K15" s="59" t="n"/>
      <c r="L15" s="67" t="inlineStr">
        <is>
          <t>M2</t>
        </is>
      </c>
      <c r="M15" s="59" t="n"/>
      <c r="N15" s="59" t="n"/>
      <c r="O15" s="59" t="n"/>
      <c r="P15" s="67" t="inlineStr">
        <is>
          <t>M3</t>
        </is>
      </c>
      <c r="Q15" s="59" t="n"/>
      <c r="R15" s="59" t="n"/>
      <c r="S15" s="67" t="inlineStr">
        <is>
          <t>M4</t>
        </is>
      </c>
      <c r="T15" s="59" t="n"/>
      <c r="U15" s="59" t="n"/>
      <c r="V15" s="59" t="n"/>
      <c r="W15" s="67" t="inlineStr">
        <is>
          <t>M5</t>
        </is>
      </c>
      <c r="X15" s="59" t="n"/>
      <c r="Y15" s="59" t="n"/>
      <c r="Z15" s="67" t="inlineStr">
        <is>
          <t>M6</t>
        </is>
      </c>
      <c r="AA15" s="59" t="n"/>
      <c r="AB15" s="59" t="n"/>
      <c r="AC15" s="59" t="n"/>
      <c r="AD15" s="67" t="inlineStr">
        <is>
          <t>M7</t>
        </is>
      </c>
      <c r="AE15" s="59" t="n"/>
      <c r="AF15" s="59" t="n"/>
      <c r="AG15" s="59" t="n"/>
      <c r="AH15" s="67" t="inlineStr">
        <is>
          <t>M8</t>
        </is>
      </c>
      <c r="AI15" s="59" t="n"/>
      <c r="AJ15" s="59" t="n"/>
      <c r="AK15" s="59" t="n"/>
      <c r="AL15" s="59" t="n"/>
    </row>
    <row r="17" ht="22" customHeight="1">
      <c r="B17" s="7" t="inlineStr">
        <is>
          <t>LEGEND:</t>
        </is>
      </c>
      <c r="C17" s="58" t="inlineStr"/>
      <c r="D17" s="68" t="inlineStr">
        <is>
          <t>Initiate</t>
        </is>
      </c>
      <c r="G17" s="63" t="inlineStr"/>
      <c r="H17" s="68" t="inlineStr">
        <is>
          <t>Discover</t>
        </is>
      </c>
      <c r="K17" s="3" t="inlineStr"/>
      <c r="L17" s="68" t="inlineStr">
        <is>
          <t>Design</t>
        </is>
      </c>
      <c r="O17" s="64" t="inlineStr"/>
      <c r="P17" s="68" t="inlineStr">
        <is>
          <t>Build</t>
        </is>
      </c>
      <c r="S17" s="58" t="inlineStr"/>
      <c r="T17" s="68" t="inlineStr">
        <is>
          <t>Validate</t>
        </is>
      </c>
      <c r="W17" s="65" t="inlineStr"/>
      <c r="X17" s="68" t="inlineStr">
        <is>
          <t>Deploy</t>
        </is>
      </c>
      <c r="AA17" s="64" t="inlineStr"/>
      <c r="AB17" s="68" t="inlineStr">
        <is>
          <t>Milestone</t>
        </is>
      </c>
    </row>
  </sheetData>
  <mergeCells count="9">
    <mergeCell ref="AA4:AE4"/>
    <mergeCell ref="G4:H4"/>
    <mergeCell ref="M4:P4"/>
    <mergeCell ref="B2:AL2"/>
    <mergeCell ref="I4:L4"/>
    <mergeCell ref="AF4:AL4"/>
    <mergeCell ref="B3:AR3"/>
    <mergeCell ref="Q4:U4"/>
    <mergeCell ref="V4:Z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I24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8" customWidth="1" min="2" max="2"/>
    <col width="40" customWidth="1" min="3" max="3"/>
    <col width="14" customWidth="1" min="4" max="4"/>
    <col width="12" customWidth="1" min="5" max="5"/>
    <col width="14" customWidth="1" min="6" max="6"/>
    <col width="14" customWidth="1" min="7" max="7"/>
    <col width="12" customWidth="1" min="8" max="8"/>
    <col width="36" customWidth="1" min="9" max="9"/>
  </cols>
  <sheetData>
    <row r="1" ht="15" customHeight="1"/>
    <row r="2" ht="32" customHeight="1">
      <c r="B2" s="9" t="inlineStr">
        <is>
          <t>Payment Milestones  —  Billing Schedule (M1–M8)</t>
        </is>
      </c>
    </row>
    <row r="3" ht="8" customHeight="1">
      <c r="B3" s="10" t="inlineStr">
        <is>
          <t>Milestone-based billing tied to sprint acceptance  |  Net-15 from acceptance  |  USD</t>
        </is>
      </c>
    </row>
    <row r="5" ht="28" customHeight="1">
      <c r="B5" s="17" t="inlineStr">
        <is>
          <t>ID</t>
        </is>
      </c>
      <c r="C5" s="17" t="inlineStr">
        <is>
          <t>Milestone</t>
        </is>
      </c>
      <c r="D5" s="17" t="inlineStr">
        <is>
          <t>Trigger Sprint</t>
        </is>
      </c>
      <c r="E5" s="17" t="inlineStr">
        <is>
          <t>% of Total</t>
        </is>
      </c>
      <c r="F5" s="17" t="inlineStr">
        <is>
          <t>Invoice Date</t>
        </is>
      </c>
      <c r="G5" s="17" t="inlineStr">
        <is>
          <t>Amount (USD)</t>
        </is>
      </c>
      <c r="H5" s="17" t="inlineStr">
        <is>
          <t>Status</t>
        </is>
      </c>
      <c r="I5" s="17" t="inlineStr">
        <is>
          <t>Acceptance Criteria</t>
        </is>
      </c>
    </row>
    <row r="6" ht="32" customHeight="1">
      <c r="B6" s="31" t="inlineStr">
        <is>
          <t>M1</t>
        </is>
      </c>
      <c r="C6" s="19" t="inlineStr">
        <is>
          <t>Mobilization &amp; Charter Sign-off</t>
        </is>
      </c>
      <c r="D6" s="31" t="inlineStr">
        <is>
          <t>S0</t>
        </is>
      </c>
      <c r="E6" s="33" t="n">
        <v>0.1</v>
      </c>
      <c r="F6" s="31" t="inlineStr">
        <is>
          <t>2026-01-23</t>
        </is>
      </c>
      <c r="G6" s="32" t="n">
        <v>63677</v>
      </c>
      <c r="H6" s="31" t="inlineStr">
        <is>
          <t>Planned</t>
        </is>
      </c>
      <c r="I6" s="22" t="inlineStr">
        <is>
          <t>Charter signed; RTM v1 approved; environment strategy accepted</t>
        </is>
      </c>
    </row>
    <row r="7" ht="32" customHeight="1">
      <c r="B7" s="34" t="inlineStr">
        <is>
          <t>M2</t>
        </is>
      </c>
      <c r="C7" s="23" t="inlineStr">
        <is>
          <t>Discovery &amp; Requirements Sign-off</t>
        </is>
      </c>
      <c r="D7" s="34" t="inlineStr">
        <is>
          <t>S1</t>
        </is>
      </c>
      <c r="E7" s="36" t="n">
        <v>0.15</v>
      </c>
      <c r="F7" s="34" t="inlineStr">
        <is>
          <t>2026-02-20</t>
        </is>
      </c>
      <c r="G7" s="35" t="n">
        <v>95515</v>
      </c>
      <c r="H7" s="34" t="inlineStr">
        <is>
          <t>Planned</t>
        </is>
      </c>
      <c r="I7" s="26" t="inlineStr">
        <is>
          <t>BRD/PRD signed; stakeholder matrix accepted; baseline plan in place</t>
        </is>
      </c>
    </row>
    <row r="8" ht="32" customHeight="1">
      <c r="B8" s="31" t="inlineStr">
        <is>
          <t>M3</t>
        </is>
      </c>
      <c r="C8" s="19" t="inlineStr">
        <is>
          <t>Architecture &amp; Design Sign-off</t>
        </is>
      </c>
      <c r="D8" s="31" t="inlineStr">
        <is>
          <t>S2</t>
        </is>
      </c>
      <c r="E8" s="33" t="n">
        <v>0.2</v>
      </c>
      <c r="F8" s="31" t="inlineStr">
        <is>
          <t>2026-03-20</t>
        </is>
      </c>
      <c r="G8" s="32" t="n">
        <v>127354</v>
      </c>
      <c r="H8" s="31" t="inlineStr">
        <is>
          <t>Planned</t>
        </is>
      </c>
      <c r="I8" s="22" t="inlineStr">
        <is>
          <t>SRS/FRS/Solution Arch signed; ADR set accepted; design review passed</t>
        </is>
      </c>
    </row>
    <row r="9" ht="32" customHeight="1">
      <c r="B9" s="34" t="inlineStr">
        <is>
          <t>M4</t>
        </is>
      </c>
      <c r="C9" s="23" t="inlineStr">
        <is>
          <t>Foundation Build Complete</t>
        </is>
      </c>
      <c r="D9" s="34" t="inlineStr">
        <is>
          <t>S3</t>
        </is>
      </c>
      <c r="E9" s="36" t="n">
        <v>0.1</v>
      </c>
      <c r="F9" s="34" t="inlineStr">
        <is>
          <t>2026-04-10</t>
        </is>
      </c>
      <c r="G9" s="35" t="n">
        <v>63677</v>
      </c>
      <c r="H9" s="34" t="inlineStr">
        <is>
          <t>Planned</t>
        </is>
      </c>
      <c r="I9" s="26" t="inlineStr">
        <is>
          <t>Foundation build deployed to staging; CI/CD green; DevSecOps review passed</t>
        </is>
      </c>
    </row>
    <row r="10" ht="32" customHeight="1">
      <c r="B10" s="31" t="inlineStr">
        <is>
          <t>M5</t>
        </is>
      </c>
      <c r="C10" s="19" t="inlineStr">
        <is>
          <t>Capture &amp; AI Draft Beta</t>
        </is>
      </c>
      <c r="D10" s="31" t="inlineStr">
        <is>
          <t>S4</t>
        </is>
      </c>
      <c r="E10" s="33" t="n">
        <v>0.15</v>
      </c>
      <c r="F10" s="31" t="inlineStr">
        <is>
          <t>2026-05-08</t>
        </is>
      </c>
      <c r="G10" s="32" t="n">
        <v>95515</v>
      </c>
      <c r="H10" s="31" t="inlineStr">
        <is>
          <t>Planned</t>
        </is>
      </c>
      <c r="I10" s="22" t="inlineStr">
        <is>
          <t>Capture &amp; AI draft beta in UAT hands; confidence policy accepted</t>
        </is>
      </c>
    </row>
    <row r="11" ht="32" customHeight="1">
      <c r="B11" s="34" t="inlineStr">
        <is>
          <t>M6</t>
        </is>
      </c>
      <c r="C11" s="23" t="inlineStr">
        <is>
          <t>Review &amp; Sync Governance Beta</t>
        </is>
      </c>
      <c r="D11" s="34" t="inlineStr">
        <is>
          <t>S5</t>
        </is>
      </c>
      <c r="E11" s="36" t="n">
        <v>0.1</v>
      </c>
      <c r="F11" s="34" t="inlineStr">
        <is>
          <t>2026-05-29</t>
        </is>
      </c>
      <c r="G11" s="35" t="n">
        <v>63677</v>
      </c>
      <c r="H11" s="34" t="inlineStr">
        <is>
          <t>Planned</t>
        </is>
      </c>
      <c r="I11" s="26" t="inlineStr">
        <is>
          <t>Review/sync governance beta live; Salesforce sandbox integration verified</t>
        </is>
      </c>
    </row>
    <row r="12" ht="32" customHeight="1">
      <c r="B12" s="31" t="inlineStr">
        <is>
          <t>M7</t>
        </is>
      </c>
      <c r="C12" s="19" t="inlineStr">
        <is>
          <t>UAT Sign-off &amp; Pilot Readiness</t>
        </is>
      </c>
      <c r="D12" s="31" t="inlineStr">
        <is>
          <t>S6</t>
        </is>
      </c>
      <c r="E12" s="33" t="n">
        <v>0.1</v>
      </c>
      <c r="F12" s="31" t="inlineStr">
        <is>
          <t>2026-06-26</t>
        </is>
      </c>
      <c r="G12" s="32" t="n">
        <v>63677</v>
      </c>
      <c r="H12" s="31" t="inlineStr">
        <is>
          <t>Planned</t>
        </is>
      </c>
      <c r="I12" s="22" t="inlineStr">
        <is>
          <t>UAT sign-off; pilot runbook accepted; performance &amp; security tests passed</t>
        </is>
      </c>
    </row>
    <row r="13" ht="32" customHeight="1">
      <c r="B13" s="34" t="inlineStr">
        <is>
          <t>M8</t>
        </is>
      </c>
      <c r="C13" s="23" t="inlineStr">
        <is>
          <t>Rollout Wave 1 Live &amp; Hypercare End</t>
        </is>
      </c>
      <c r="D13" s="34" t="inlineStr">
        <is>
          <t>S7</t>
        </is>
      </c>
      <c r="E13" s="36" t="n">
        <v>0.1</v>
      </c>
      <c r="F13" s="34" t="inlineStr">
        <is>
          <t>2026-07-24</t>
        </is>
      </c>
      <c r="G13" s="35" t="n">
        <v>63677</v>
      </c>
      <c r="H13" s="34" t="inlineStr">
        <is>
          <t>Planned</t>
        </is>
      </c>
      <c r="I13" s="26" t="inlineStr">
        <is>
          <t>Wave 1 live in production; hypercare closed; pilot KPI validation report accepted</t>
        </is>
      </c>
    </row>
    <row r="14" ht="28" customHeight="1">
      <c r="B14" s="27" t="inlineStr">
        <is>
          <t>TOTAL</t>
        </is>
      </c>
      <c r="C14" s="27" t="inlineStr">
        <is>
          <t>All milestones</t>
        </is>
      </c>
      <c r="D14" s="27" t="n"/>
      <c r="E14" s="40">
        <f>SUM(E6:E13)</f>
        <v/>
      </c>
      <c r="F14" s="27" t="n"/>
      <c r="G14" s="39">
        <f>SUM(G6:G13)</f>
        <v/>
      </c>
      <c r="H14" s="27" t="n"/>
      <c r="I14" s="27" t="n"/>
    </row>
    <row r="17" ht="24" customHeight="1">
      <c r="B17" s="6" t="inlineStr">
        <is>
          <t>PAYMENT TERMS &amp; CONDITIONS</t>
        </is>
      </c>
    </row>
    <row r="18" ht="24" customHeight="1">
      <c r="B18" s="4" t="inlineStr">
        <is>
          <t>Advance</t>
        </is>
      </c>
      <c r="C18" s="5" t="inlineStr">
        <is>
          <t>50% of M1 invoiced on contract execution; balance on M1 acceptance.</t>
        </is>
      </c>
    </row>
    <row r="19" ht="24" customHeight="1">
      <c r="B19" s="4" t="inlineStr">
        <is>
          <t>Subsequent Bills</t>
        </is>
      </c>
      <c r="C19" s="5" t="inlineStr">
        <is>
          <t>Net-15 from milestone acceptance. Late payments &gt;30 days incur 1.5%/month finance charge.</t>
        </is>
      </c>
    </row>
    <row r="20" ht="24" customHeight="1">
      <c r="B20" s="4" t="inlineStr">
        <is>
          <t>Acceptance Window</t>
        </is>
      </c>
      <c r="C20" s="5" t="inlineStr">
        <is>
          <t>10 business days from delivery notification. Silent acceptance applies if no written rejection.</t>
        </is>
      </c>
    </row>
    <row r="21" ht="24" customHeight="1">
      <c r="B21" s="4" t="inlineStr">
        <is>
          <t>Change Control</t>
        </is>
      </c>
      <c r="C21" s="5" t="inlineStr">
        <is>
          <t>Scope changes &gt;5% of remaining budget require CCB approval; billed as change orders.</t>
        </is>
      </c>
    </row>
    <row r="22" ht="24" customHeight="1">
      <c r="B22" s="4" t="inlineStr">
        <is>
          <t>Withholding</t>
        </is>
      </c>
      <c r="C22" s="5" t="inlineStr">
        <is>
          <t>10% of each milestone retained until M8 acceptance; released on Wave 1 go-live.</t>
        </is>
      </c>
    </row>
    <row r="23" ht="24" customHeight="1">
      <c r="B23" s="4" t="inlineStr">
        <is>
          <t>Currency</t>
        </is>
      </c>
      <c r="C23" s="5" t="inlineStr">
        <is>
          <t>All invoices in USD. Bank charges outside vendor country borne by client.</t>
        </is>
      </c>
    </row>
    <row r="24" ht="24" customHeight="1">
      <c r="B24" s="4" t="inlineStr">
        <is>
          <t>Tax</t>
        </is>
      </c>
      <c r="C24" s="5" t="inlineStr">
        <is>
          <t>Withholding tax (if applicable) deducted at source; vendor provides W-8BEN-E equivalent.</t>
        </is>
      </c>
    </row>
  </sheetData>
  <mergeCells count="10">
    <mergeCell ref="C23:I23"/>
    <mergeCell ref="C22:I22"/>
    <mergeCell ref="C18:I18"/>
    <mergeCell ref="B2:I2"/>
    <mergeCell ref="C21:I21"/>
    <mergeCell ref="C20:I20"/>
    <mergeCell ref="B3:I3"/>
    <mergeCell ref="C24:I24"/>
    <mergeCell ref="C19:I19"/>
    <mergeCell ref="B17:I17"/>
  </mergeCells>
  <conditionalFormatting sqref="H6:H13">
    <cfRule type="cellIs" priority="1" operator="equal" dxfId="0">
      <formula>"Planned"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8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44" customWidth="1" min="3" max="3"/>
    <col width="12" customWidth="1" min="4" max="4"/>
    <col width="10" customWidth="1" min="5" max="5"/>
    <col width="14" customWidth="1" min="6" max="6"/>
    <col width="50" customWidth="1" min="7" max="7"/>
  </cols>
  <sheetData>
    <row r="1" ht="15" customHeight="1"/>
    <row r="2" ht="32" customHeight="1">
      <c r="B2" s="9" t="inlineStr">
        <is>
          <t>Risk Register &amp; Contingency Plan</t>
        </is>
      </c>
    </row>
    <row r="3" ht="8" customHeight="1">
      <c r="B3" s="10" t="inlineStr">
        <is>
          <t>Reserve: $47,168  (8% of base budget $589,600)  |  Drawn against approved risk realisations</t>
        </is>
      </c>
    </row>
    <row r="5" ht="28" customHeight="1">
      <c r="B5" s="17" t="inlineStr">
        <is>
          <t>ID</t>
        </is>
      </c>
      <c r="C5" s="17" t="inlineStr">
        <is>
          <t>Risk</t>
        </is>
      </c>
      <c r="D5" s="17" t="inlineStr">
        <is>
          <t>Likelihood</t>
        </is>
      </c>
      <c r="E5" s="17" t="inlineStr">
        <is>
          <t>Impact</t>
        </is>
      </c>
      <c r="F5" s="17" t="inlineStr">
        <is>
          <t>Reserve (USD)</t>
        </is>
      </c>
      <c r="G5" s="17" t="inlineStr">
        <is>
          <t>Mitigation</t>
        </is>
      </c>
    </row>
    <row r="6" ht="42" customHeight="1">
      <c r="B6" s="31" t="inlineStr">
        <is>
          <t>R1</t>
        </is>
      </c>
      <c r="C6" s="22" t="inlineStr">
        <is>
          <t>AI transcription accuracy below target in noisy field conditions</t>
        </is>
      </c>
      <c r="D6" s="31" t="inlineStr">
        <is>
          <t>Medium</t>
        </is>
      </c>
      <c r="E6" s="31" t="inlineStr">
        <is>
          <t>High</t>
        </is>
      </c>
      <c r="F6" s="32" t="n">
        <v>8500</v>
      </c>
      <c r="G6" s="22" t="inlineStr">
        <is>
          <t>Pre-pilot audio benchmarking; fallback manual transcription queue</t>
        </is>
      </c>
    </row>
    <row r="7" ht="42" customHeight="1">
      <c r="B7" s="34" t="inlineStr">
        <is>
          <t>R2</t>
        </is>
      </c>
      <c r="C7" s="26" t="inlineStr">
        <is>
          <t>Salesforce API rate limits during peak sync</t>
        </is>
      </c>
      <c r="D7" s="34" t="inlineStr">
        <is>
          <t>Low</t>
        </is>
      </c>
      <c r="E7" s="34" t="inlineStr">
        <is>
          <t>Medium</t>
        </is>
      </c>
      <c r="F7" s="35" t="n">
        <v>3500</v>
      </c>
      <c r="G7" s="26" t="inlineStr">
        <is>
          <t>Batched sync with exponential backoff; quarantine queue</t>
        </is>
      </c>
    </row>
    <row r="8" ht="42" customHeight="1">
      <c r="B8" s="31" t="inlineStr">
        <is>
          <t>R3</t>
        </is>
      </c>
      <c r="C8" s="22" t="inlineStr">
        <is>
          <t>Country regulatory change requiring data residency</t>
        </is>
      </c>
      <c r="D8" s="31" t="inlineStr">
        <is>
          <t>Low</t>
        </is>
      </c>
      <c r="E8" s="31" t="inlineStr">
        <is>
          <t>High</t>
        </is>
      </c>
      <c r="F8" s="32" t="n">
        <v>6500</v>
      </c>
      <c r="G8" s="22" t="inlineStr">
        <is>
          <t>Multi-region deployment plan; legal review at S2 &amp; S6</t>
        </is>
      </c>
    </row>
    <row r="9" ht="42" customHeight="1">
      <c r="B9" s="34" t="inlineStr">
        <is>
          <t>R4</t>
        </is>
      </c>
      <c r="C9" s="26" t="inlineStr">
        <is>
          <t>Stakeholder availability for UAT delays schedule</t>
        </is>
      </c>
      <c r="D9" s="34" t="inlineStr">
        <is>
          <t>Medium</t>
        </is>
      </c>
      <c r="E9" s="34" t="inlineStr">
        <is>
          <t>Medium</t>
        </is>
      </c>
      <c r="F9" s="35" t="n">
        <v>4500</v>
      </c>
      <c r="G9" s="26" t="inlineStr">
        <is>
          <t>Pre-booked UAT slots; remote async UAT fallback</t>
        </is>
      </c>
    </row>
    <row r="10" ht="42" customHeight="1">
      <c r="B10" s="31" t="inlineStr">
        <is>
          <t>R5</t>
        </is>
      </c>
      <c r="C10" s="22" t="inlineStr">
        <is>
          <t>LLM provider pricing change mid-engagement</t>
        </is>
      </c>
      <c r="D10" s="31" t="inlineStr">
        <is>
          <t>Medium</t>
        </is>
      </c>
      <c r="E10" s="31" t="inlineStr">
        <is>
          <t>Low</t>
        </is>
      </c>
      <c r="F10" s="32" t="n">
        <v>2500</v>
      </c>
      <c r="G10" s="22" t="inlineStr">
        <is>
          <t>Multi-provider abstraction (OpenAI + Anthropic); budget re-forecast at S4</t>
        </is>
      </c>
    </row>
    <row r="11" ht="42" customHeight="1">
      <c r="B11" s="34" t="inlineStr">
        <is>
          <t>R6</t>
        </is>
      </c>
      <c r="C11" s="26" t="inlineStr">
        <is>
          <t>Field connectivity issues block offline capture testing</t>
        </is>
      </c>
      <c r="D11" s="34" t="inlineStr">
        <is>
          <t>Medium</t>
        </is>
      </c>
      <c r="E11" s="34" t="inlineStr">
        <is>
          <t>Medium</t>
        </is>
      </c>
      <c r="F11" s="35" t="n">
        <v>4000</v>
      </c>
      <c r="G11" s="26" t="inlineStr">
        <is>
          <t>Offline-first architecture; pre-staged test devices</t>
        </is>
      </c>
    </row>
    <row r="12" ht="42" customHeight="1">
      <c r="B12" s="31" t="inlineStr">
        <is>
          <t>R7</t>
        </is>
      </c>
      <c r="C12" s="22" t="inlineStr">
        <is>
          <t>Scope expansion for additional country in Wave 1</t>
        </is>
      </c>
      <c r="D12" s="31" t="inlineStr">
        <is>
          <t>Low</t>
        </is>
      </c>
      <c r="E12" s="31" t="inlineStr">
        <is>
          <t>High</t>
        </is>
      </c>
      <c r="F12" s="32" t="n">
        <v>7500</v>
      </c>
      <c r="G12" s="22" t="inlineStr">
        <is>
          <t>Strict change-control board; Wave 2 parking lot</t>
        </is>
      </c>
    </row>
    <row r="13" ht="28" customHeight="1">
      <c r="B13" s="27" t="inlineStr">
        <is>
          <t>TOTAL</t>
        </is>
      </c>
      <c r="C13" s="27" t="inlineStr">
        <is>
          <t>Allocated reserve against R1–R7</t>
        </is>
      </c>
      <c r="D13" s="27" t="n"/>
      <c r="E13" s="27" t="n"/>
      <c r="F13" s="39">
        <f>SUM(F6:F12)</f>
        <v/>
      </c>
      <c r="G13" s="27" t="n"/>
    </row>
    <row r="16" ht="24" customHeight="1">
      <c r="B16" s="6" t="inlineStr">
        <is>
          <t>RESERVE RECONCILIATION</t>
        </is>
      </c>
    </row>
    <row r="17" ht="28" customHeight="1">
      <c r="B17" s="17" t="inlineStr">
        <is>
          <t>Item</t>
        </is>
      </c>
      <c r="C17" s="18" t="n"/>
      <c r="D17" s="18" t="n"/>
      <c r="E17" s="18" t="n"/>
      <c r="F17" s="17" t="inlineStr">
        <is>
          <t>USD</t>
        </is>
      </c>
      <c r="G17" s="17" t="inlineStr">
        <is>
          <t>Notes</t>
        </is>
      </c>
    </row>
    <row r="18" ht="24" customHeight="1">
      <c r="B18" s="19" t="inlineStr">
        <is>
          <t>Allocated against R1–R7</t>
        </is>
      </c>
      <c r="C18" s="19" t="n"/>
      <c r="D18" s="19" t="n"/>
      <c r="E18" s="19" t="n"/>
      <c r="F18" s="32" t="n">
        <v>37000</v>
      </c>
      <c r="G18" s="22" t="inlineStr">
        <is>
          <t>Sum of reserve column above</t>
        </is>
      </c>
    </row>
    <row r="19" ht="24" customHeight="1">
      <c r="B19" s="23" t="inlineStr">
        <is>
          <t>Unallocated buffer</t>
        </is>
      </c>
      <c r="C19" s="23" t="n"/>
      <c r="D19" s="23" t="n"/>
      <c r="E19" s="23" t="n"/>
      <c r="F19" s="35" t="n">
        <v>10168</v>
      </c>
      <c r="G19" s="26" t="inlineStr">
        <is>
          <t>Discretionary; sponsor approval to draw</t>
        </is>
      </c>
    </row>
    <row r="20" ht="24" customHeight="1">
      <c r="B20" s="27" t="inlineStr">
        <is>
          <t>Total Risk Reserve</t>
        </is>
      </c>
      <c r="C20" s="27" t="n"/>
      <c r="D20" s="27" t="n"/>
      <c r="E20" s="27" t="n"/>
      <c r="F20" s="39" t="n">
        <v>47168</v>
      </c>
      <c r="G20" s="30" t="inlineStr">
        <is>
          <t>8% of base budget</t>
        </is>
      </c>
    </row>
    <row r="24" ht="24" customHeight="1">
      <c r="B24" s="6" t="inlineStr">
        <is>
          <t>SCENARIO ANALYSIS  —  Total Cost Outturn</t>
        </is>
      </c>
    </row>
    <row r="25" ht="28" customHeight="1">
      <c r="B25" s="17" t="inlineStr">
        <is>
          <t>Scenario</t>
        </is>
      </c>
      <c r="C25" s="18" t="n"/>
      <c r="D25" s="17" t="inlineStr">
        <is>
          <t>Description</t>
        </is>
      </c>
      <c r="E25" s="18" t="n"/>
      <c r="F25" s="17" t="inlineStr">
        <is>
          <t>USD</t>
        </is>
      </c>
      <c r="G25" s="17" t="inlineStr">
        <is>
          <t>Δ vs Base</t>
        </is>
      </c>
    </row>
    <row r="26" ht="28" customHeight="1">
      <c r="B26" s="69" t="inlineStr">
        <is>
          <t>Best Case</t>
        </is>
      </c>
      <c r="C26" s="19" t="n"/>
      <c r="D26" s="22" t="inlineStr">
        <is>
          <t>Risks R1–R7 do not materialise; reserve fully released</t>
        </is>
      </c>
      <c r="E26" s="19" t="n"/>
      <c r="F26" s="32" t="n">
        <v>589600</v>
      </c>
      <c r="G26" s="70" t="n">
        <v>0</v>
      </c>
    </row>
    <row r="27" ht="28" customHeight="1">
      <c r="B27" s="71" t="inlineStr">
        <is>
          <t>Base Case</t>
        </is>
      </c>
      <c r="C27" s="23" t="n"/>
      <c r="D27" s="26" t="inlineStr">
        <is>
          <t>Reserve partially drawn (~50%) against R1, R4, R6</t>
        </is>
      </c>
      <c r="E27" s="23" t="n"/>
      <c r="F27" s="35" t="n">
        <v>613184</v>
      </c>
      <c r="G27" s="72" t="n">
        <v>23584</v>
      </c>
    </row>
    <row r="28" ht="28" customHeight="1">
      <c r="B28" s="69" t="inlineStr">
        <is>
          <t>Worst Case</t>
        </is>
      </c>
      <c r="C28" s="19" t="n"/>
      <c r="D28" s="22" t="inlineStr">
        <is>
          <t>All reserve drawn; +5% scope change order for additional country</t>
        </is>
      </c>
      <c r="E28" s="19" t="n"/>
      <c r="F28" s="32" t="n">
        <v>666248</v>
      </c>
      <c r="G28" s="70" t="n">
        <v>76648</v>
      </c>
    </row>
  </sheetData>
  <mergeCells count="16">
    <mergeCell ref="B3:G3"/>
    <mergeCell ref="B2:G2"/>
    <mergeCell ref="B17:E17"/>
    <mergeCell ref="B18:E18"/>
    <mergeCell ref="B16:G16"/>
    <mergeCell ref="B24:G24"/>
    <mergeCell ref="D25:E25"/>
    <mergeCell ref="B26:C26"/>
    <mergeCell ref="B25:C25"/>
    <mergeCell ref="D27:E27"/>
    <mergeCell ref="B28:C28"/>
    <mergeCell ref="D28:E28"/>
    <mergeCell ref="B19:E19"/>
    <mergeCell ref="B20:E20"/>
    <mergeCell ref="B27:C27"/>
    <mergeCell ref="D26:E26"/>
  </mergeCells>
  <conditionalFormatting sqref="D6:D12">
    <cfRule type="cellIs" priority="1" operator="equal" dxfId="1">
      <formula>"High"</formula>
    </cfRule>
    <cfRule type="cellIs" priority="2" operator="equal" dxfId="2">
      <formula>"Medium"</formula>
    </cfRule>
  </conditionalFormatting>
  <conditionalFormatting sqref="E6:E12">
    <cfRule type="cellIs" priority="3" operator="equal" dxfId="1">
      <formula>"High"</formula>
    </cfRule>
    <cfRule type="cellIs" priority="4" operator="equal" dxfId="2">
      <formula>"Medium"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C25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90" customWidth="1" min="3" max="3"/>
  </cols>
  <sheetData>
    <row r="1" ht="15" customHeight="1"/>
    <row r="2" ht="32" customHeight="1">
      <c r="B2" s="9" t="inlineStr">
        <is>
          <t>Pricing Basis, Assumptions &amp; Exclusions</t>
        </is>
      </c>
    </row>
    <row r="3" ht="8" customHeight="1">
      <c r="B3" s="10" t="inlineStr">
        <is>
          <t>Read in conjunction with the master services agreement and statement of work.</t>
        </is>
      </c>
    </row>
    <row r="5" ht="28" customHeight="1">
      <c r="B5" s="17" t="inlineStr">
        <is>
          <t>Topic</t>
        </is>
      </c>
      <c r="C5" s="17" t="inlineStr">
        <is>
          <t>Detail</t>
        </is>
      </c>
    </row>
    <row r="6" ht="38" customHeight="1">
      <c r="B6" s="73" t="inlineStr">
        <is>
          <t>Currency</t>
        </is>
      </c>
      <c r="C6" s="74" t="inlineStr">
        <is>
          <t>All amounts in USD. No FX conversion required (billing currency = USD).</t>
        </is>
      </c>
    </row>
    <row r="7" ht="38" customHeight="1">
      <c r="B7" s="75" t="inlineStr">
        <is>
          <t>Day Rates</t>
        </is>
      </c>
      <c r="C7" s="76" t="inlineStr">
        <is>
          <t>Fully-loaded blended day rates include salary, benefits, paid time off, and overhead allocation.</t>
        </is>
      </c>
    </row>
    <row r="8" ht="38" customHeight="1">
      <c r="B8" s="73" t="inlineStr">
        <is>
          <t>Sprint Cadence</t>
        </is>
      </c>
      <c r="C8" s="74" t="inlineStr">
        <is>
          <t>2-week sprints for S0, 3-4 week sprints for S1-S7. Total engagement = 32 calendar weeks.</t>
        </is>
      </c>
    </row>
    <row r="9" ht="38" customHeight="1">
      <c r="B9" s="75" t="inlineStr">
        <is>
          <t>Cloud Infrastructure</t>
        </is>
      </c>
      <c r="C9" s="76" t="inlineStr">
        <is>
          <t>Neon PostgreSQL (pooler), Vercel Pro hosting, Cloudflare R2 storage. Production-grade only from S4 onwards.</t>
        </is>
      </c>
    </row>
    <row r="10" ht="38" customHeight="1">
      <c r="B10" s="73" t="inlineStr">
        <is>
          <t>Third-party APIs</t>
        </is>
      </c>
      <c r="C10" s="74" t="inlineStr">
        <is>
          <t>OpenAI GPT-4-class + Anthropic Claude for AI drafting; Salesforce Enterprise API; Twilio for SMS notifications.</t>
        </is>
      </c>
    </row>
    <row r="11" ht="38" customHeight="1">
      <c r="B11" s="75" t="inlineStr">
        <is>
          <t>Estimate Basis</t>
        </is>
      </c>
      <c r="C11" s="76" t="inlineStr">
        <is>
          <t>Bottom-up estimate using man-day projections × role rates + direct vendor costs. Re-forecast at end of each sprint.</t>
        </is>
      </c>
    </row>
    <row r="12" ht="38" customHeight="1">
      <c r="B12" s="73" t="inlineStr">
        <is>
          <t>Exclusions</t>
        </is>
      </c>
      <c r="C12" s="74" t="inlineStr">
        <is>
          <t>Aceli-side staff time; Salesforce licenses; end-user device procurement; in-country regulatory filing fees.</t>
        </is>
      </c>
    </row>
    <row r="13" ht="38" customHeight="1">
      <c r="B13" s="75" t="inlineStr">
        <is>
          <t>Risk Reserve</t>
        </is>
      </c>
      <c r="C13" s="76" t="inlineStr">
        <is>
          <t>8% contingency on top of base budget, drawn against risk register items R1-R7 with sponsor approval.</t>
        </is>
      </c>
    </row>
    <row r="14" ht="38" customHeight="1">
      <c r="B14" s="73" t="inlineStr">
        <is>
          <t>Change Control</t>
        </is>
      </c>
      <c r="C14" s="74" t="inlineStr">
        <is>
          <t>Scope changes &gt;5% of remaining budget require Change Control Board approval. Wave 2 countries are out of scope.</t>
        </is>
      </c>
    </row>
    <row r="15" ht="38" customHeight="1">
      <c r="B15" s="75" t="inlineStr">
        <is>
          <t>Warranty Period</t>
        </is>
      </c>
      <c r="C15" s="76" t="inlineStr">
        <is>
          <t>30-day hypercare post Wave-1 rollout included. Extended support contracted separately.</t>
        </is>
      </c>
    </row>
    <row r="16" ht="38" customHeight="1">
      <c r="B16" s="73" t="inlineStr">
        <is>
          <t>IP &amp; Licensing</t>
        </is>
      </c>
      <c r="C16" s="74" t="inlineStr">
        <is>
          <t>All source code and deliverables become Aceli property upon final payment. Z.ai retains rights to reusable internal tooling.</t>
        </is>
      </c>
    </row>
    <row r="17" ht="38" customHeight="1">
      <c r="B17" s="75" t="inlineStr">
        <is>
          <t>Payment Terms</t>
        </is>
      </c>
      <c r="C17" s="76" t="inlineStr">
        <is>
          <t>Net-15 from milestone acceptance. 50% advance for S0 mobilization; subsequent milestones billed on completion.</t>
        </is>
      </c>
    </row>
    <row r="21" ht="24" customHeight="1">
      <c r="B21" s="6" t="inlineStr">
        <is>
          <t>ACCEPTANCE &amp; SIGN-OFF</t>
        </is>
      </c>
    </row>
    <row r="22" ht="28" customHeight="1">
      <c r="B22" s="4" t="inlineStr">
        <is>
          <t>Prepared by</t>
        </is>
      </c>
      <c r="C22" s="5" t="inlineStr">
        <is>
          <t>Z.ai Delivery — Aceli LAT Pod                                  Date: 2026-06-18</t>
        </is>
      </c>
    </row>
    <row r="23" ht="28" customHeight="1">
      <c r="B23" s="4" t="inlineStr">
        <is>
          <t>Reviewed by</t>
        </is>
      </c>
      <c r="C23" s="5" t="inlineStr">
        <is>
          <t>________________________________________                                  Date: ____________</t>
        </is>
      </c>
    </row>
    <row r="24" ht="28" customHeight="1">
      <c r="B24" s="4" t="inlineStr">
        <is>
          <t>Approved by (Client)</t>
        </is>
      </c>
      <c r="C24" s="5" t="inlineStr">
        <is>
          <t>________________________________________                                  Date: ____________</t>
        </is>
      </c>
    </row>
    <row r="25" ht="28" customHeight="1">
      <c r="B25" s="4" t="inlineStr">
        <is>
          <t>Approved by (Vendor)</t>
        </is>
      </c>
      <c r="C25" s="5" t="inlineStr">
        <is>
          <t>________________________________________                                  Date: ____________</t>
        </is>
      </c>
    </row>
  </sheetData>
  <mergeCells count="3">
    <mergeCell ref="B3:C3"/>
    <mergeCell ref="B21:C21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:title xmlns:dc="http://purl.org/dc/elements/1.1/">Aceli LAT — Budget, Timeline &amp; Costing Workbook</dc:title>
  <dc:subject xmlns:dc="http://purl.org/dc/elements/1.1/">Master budget for Aceli LAT engagement (Sprint 0–7)</dc:subject>
  <dcterms:created xmlns:dcterms="http://purl.org/dc/terms/" xmlns:xsi="http://www.w3.org/2001/XMLSchema-instance" xsi:type="dcterms:W3CDTF">2026-06-18T12:41:24Z</dcterms:created>
  <dcterms:modified xmlns:dcterms="http://purl.org/dc/terms/" xmlns:xsi="http://www.w3.org/2001/XMLSchema-instance" xsi:type="dcterms:W3CDTF">2026-06-18T12:41:24Z</dcterms:modified>
</cp:coreProperties>
</file>